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aurryatele-my.sharepoint.com/personal/priya_thorat_shaurryatele_com/Documents/Attachments/"/>
    </mc:Choice>
  </mc:AlternateContent>
  <xr:revisionPtr revIDLastSave="1024" documentId="8_{A034C5E4-DC0F-4255-B28B-0329E5DAF89E}" xr6:coauthVersionLast="47" xr6:coauthVersionMax="47" xr10:uidLastSave="{02171D54-8857-4060-9358-6683FCD7465B}"/>
  <bookViews>
    <workbookView xWindow="-108" yWindow="-108" windowWidth="23256" windowHeight="12456" xr2:uid="{7170E497-B816-425D-86C3-249E5397BDA6}"/>
  </bookViews>
  <sheets>
    <sheet name="Summary" sheetId="5" r:id="rId1"/>
    <sheet name="Productivity Report" sheetId="1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'Productivity Report'!$A$1:$O$50</definedName>
  </definedNames>
  <calcPr calcId="191029"/>
  <pivotCaches>
    <pivotCache cacheId="36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G46" i="1"/>
  <c r="H46" i="1"/>
  <c r="H42" i="1"/>
  <c r="H33" i="1"/>
  <c r="H48" i="1"/>
  <c r="H2" i="1"/>
  <c r="H6" i="1"/>
  <c r="H43" i="1"/>
  <c r="H34" i="1"/>
  <c r="H10" i="1"/>
  <c r="H27" i="1"/>
  <c r="H35" i="1"/>
  <c r="H36" i="1"/>
  <c r="H16" i="1"/>
  <c r="H44" i="1"/>
  <c r="H41" i="1"/>
  <c r="H20" i="1"/>
  <c r="H28" i="1"/>
  <c r="H45" i="1"/>
  <c r="H11" i="1"/>
  <c r="H50" i="1"/>
  <c r="H13" i="1"/>
  <c r="H37" i="1"/>
  <c r="H38" i="1"/>
  <c r="H15" i="1"/>
  <c r="H14" i="1"/>
  <c r="H3" i="1"/>
  <c r="H30" i="1"/>
  <c r="H21" i="1"/>
  <c r="H32" i="1"/>
  <c r="H19" i="1"/>
  <c r="H40" i="1"/>
  <c r="H29" i="1"/>
  <c r="H22" i="1"/>
  <c r="G42" i="1"/>
  <c r="G33" i="1"/>
  <c r="G48" i="1"/>
  <c r="G2" i="1"/>
  <c r="G6" i="1"/>
  <c r="G43" i="1"/>
  <c r="G23" i="1"/>
  <c r="G34" i="1"/>
  <c r="G24" i="1"/>
  <c r="G26" i="1"/>
  <c r="G49" i="1"/>
  <c r="G10" i="1"/>
  <c r="G27" i="1"/>
  <c r="G35" i="1"/>
  <c r="G18" i="1"/>
  <c r="G25" i="1"/>
  <c r="G36" i="1"/>
  <c r="G16" i="1"/>
  <c r="G7" i="1"/>
  <c r="G44" i="1"/>
  <c r="G41" i="1"/>
  <c r="G20" i="1"/>
  <c r="G31" i="1"/>
  <c r="G28" i="1"/>
  <c r="G45" i="1"/>
  <c r="G11" i="1"/>
  <c r="G50" i="1"/>
  <c r="G13" i="1"/>
  <c r="G37" i="1"/>
  <c r="G38" i="1"/>
  <c r="G39" i="1"/>
  <c r="G15" i="1"/>
  <c r="G14" i="1"/>
  <c r="G3" i="1"/>
  <c r="G17" i="1"/>
  <c r="G4" i="1"/>
  <c r="G30" i="1"/>
  <c r="G9" i="1"/>
  <c r="G21" i="1"/>
  <c r="G32" i="1"/>
  <c r="G19" i="1"/>
  <c r="G40" i="1"/>
  <c r="G12" i="1"/>
  <c r="G29" i="1"/>
  <c r="G22" i="1"/>
  <c r="F5" i="1"/>
  <c r="F42" i="1"/>
  <c r="F33" i="1"/>
  <c r="F48" i="1"/>
  <c r="F2" i="1"/>
  <c r="F6" i="1"/>
  <c r="F43" i="1"/>
  <c r="F23" i="1"/>
  <c r="F34" i="1"/>
  <c r="F24" i="1"/>
  <c r="F26" i="1"/>
  <c r="F49" i="1"/>
  <c r="F10" i="1"/>
  <c r="F27" i="1"/>
  <c r="F35" i="1"/>
  <c r="F18" i="1"/>
  <c r="F25" i="1"/>
  <c r="F36" i="1"/>
  <c r="F16" i="1"/>
  <c r="F7" i="1"/>
  <c r="F44" i="1"/>
  <c r="F41" i="1"/>
  <c r="F20" i="1"/>
  <c r="F8" i="1"/>
  <c r="F31" i="1"/>
  <c r="F28" i="1"/>
  <c r="F45" i="1"/>
  <c r="F11" i="1"/>
  <c r="F50" i="1"/>
  <c r="F13" i="1"/>
  <c r="F37" i="1"/>
  <c r="F38" i="1"/>
  <c r="F39" i="1"/>
  <c r="F15" i="1"/>
  <c r="F14" i="1"/>
  <c r="F3" i="1"/>
  <c r="F17" i="1"/>
  <c r="F4" i="1"/>
  <c r="F30" i="1"/>
  <c r="F9" i="1"/>
  <c r="F21" i="1"/>
  <c r="F32" i="1"/>
  <c r="F19" i="1"/>
  <c r="F47" i="1"/>
  <c r="F40" i="1"/>
  <c r="F12" i="1"/>
  <c r="F29" i="1"/>
  <c r="F22" i="1"/>
  <c r="D29" i="1"/>
  <c r="D12" i="1"/>
  <c r="D47" i="1"/>
  <c r="E19" i="1"/>
  <c r="D19" i="1"/>
  <c r="E32" i="1"/>
  <c r="D32" i="1"/>
  <c r="E21" i="1"/>
  <c r="D21" i="1"/>
  <c r="E9" i="1"/>
  <c r="D9" i="1"/>
  <c r="E4" i="1"/>
  <c r="D4" i="1"/>
  <c r="E17" i="1"/>
  <c r="D17" i="1"/>
  <c r="E3" i="1"/>
  <c r="D3" i="1"/>
  <c r="E39" i="1"/>
  <c r="D39" i="1"/>
  <c r="E38" i="1"/>
  <c r="D38" i="1"/>
  <c r="E37" i="1"/>
  <c r="D37" i="1"/>
  <c r="E13" i="1"/>
  <c r="D13" i="1"/>
  <c r="E50" i="1"/>
  <c r="D50" i="1"/>
  <c r="D28" i="1"/>
  <c r="E31" i="1"/>
  <c r="D31" i="1"/>
  <c r="E8" i="1"/>
  <c r="D8" i="1"/>
  <c r="E41" i="1"/>
  <c r="D41" i="1"/>
  <c r="D44" i="1"/>
  <c r="E16" i="1"/>
  <c r="D16" i="1"/>
  <c r="E36" i="1"/>
  <c r="D36" i="1"/>
  <c r="E25" i="1"/>
  <c r="D25" i="1"/>
  <c r="E18" i="1"/>
  <c r="D18" i="1"/>
  <c r="D10" i="1"/>
  <c r="E26" i="1"/>
  <c r="D26" i="1"/>
  <c r="E24" i="1"/>
  <c r="D24" i="1"/>
  <c r="E34" i="1"/>
  <c r="D34" i="1"/>
  <c r="E23" i="1"/>
  <c r="D23" i="1"/>
  <c r="E6" i="1"/>
  <c r="D6" i="1"/>
  <c r="E2" i="1"/>
  <c r="D2" i="1"/>
  <c r="E48" i="1"/>
  <c r="D48" i="1"/>
  <c r="D42" i="1"/>
  <c r="E5" i="1"/>
  <c r="D5" i="1"/>
  <c r="E22" i="1"/>
  <c r="D22" i="1"/>
</calcChain>
</file>

<file path=xl/sharedStrings.xml><?xml version="1.0" encoding="utf-8"?>
<sst xmlns="http://schemas.openxmlformats.org/spreadsheetml/2006/main" count="608" uniqueCount="294">
  <si>
    <t>Full Name</t>
  </si>
  <si>
    <t>Username</t>
  </si>
  <si>
    <t>Circle</t>
  </si>
  <si>
    <t>Business Domain</t>
  </si>
  <si>
    <t>Role</t>
  </si>
  <si>
    <t>Distance</t>
  </si>
  <si>
    <t>No of Forms Filled</t>
  </si>
  <si>
    <t>Remark</t>
  </si>
  <si>
    <t>Abhiman Ganguly</t>
  </si>
  <si>
    <t>abhiman_st</t>
  </si>
  <si>
    <t>Kolkata</t>
  </si>
  <si>
    <t>Adesh Kumar Patel</t>
  </si>
  <si>
    <t>adesh_st</t>
  </si>
  <si>
    <t>Delhi NCR</t>
  </si>
  <si>
    <t>Afsar Ali</t>
  </si>
  <si>
    <t>afsar_st</t>
  </si>
  <si>
    <t>Mumbai</t>
  </si>
  <si>
    <t>SA</t>
  </si>
  <si>
    <t>Akhilesh Premprakash Giri</t>
  </si>
  <si>
    <t>akhilesh_st</t>
  </si>
  <si>
    <t>Mobility</t>
  </si>
  <si>
    <t>O&amp;M</t>
  </si>
  <si>
    <t>Amaan Aijaz</t>
  </si>
  <si>
    <t>amaan_st</t>
  </si>
  <si>
    <t>UPE</t>
  </si>
  <si>
    <t>Anish Kumar</t>
  </si>
  <si>
    <t>anish_st</t>
  </si>
  <si>
    <t>Ankaj Chaudhary</t>
  </si>
  <si>
    <t>ankaj_st</t>
  </si>
  <si>
    <t>Ankush Shelotkar</t>
  </si>
  <si>
    <t>ankush_sts</t>
  </si>
  <si>
    <t>Arsadur Rahaman Halder</t>
  </si>
  <si>
    <t>arsadur_st</t>
  </si>
  <si>
    <t>Ashok Soni</t>
  </si>
  <si>
    <t>ashok_st</t>
  </si>
  <si>
    <t>Badhan Sarkar</t>
  </si>
  <si>
    <t>badhan_st</t>
  </si>
  <si>
    <t>Dattatray Ganpat Ranmakar</t>
  </si>
  <si>
    <t>dattatray_st</t>
  </si>
  <si>
    <t>Maharashtra</t>
  </si>
  <si>
    <t>Deepanshu Pandey</t>
  </si>
  <si>
    <t>dipanshu_st</t>
  </si>
  <si>
    <t>Devendra Pal Singh</t>
  </si>
  <si>
    <t>devendra_st</t>
  </si>
  <si>
    <t>Ganesh Bhimsen Kumbhar</t>
  </si>
  <si>
    <t>ganeshk_st</t>
  </si>
  <si>
    <t>Gopal  Sonkar</t>
  </si>
  <si>
    <t>gopal_st</t>
  </si>
  <si>
    <t>Irrappa Bassapa</t>
  </si>
  <si>
    <t>irrappa_st</t>
  </si>
  <si>
    <t>Karnataka</t>
  </si>
  <si>
    <t>Karim Khan</t>
  </si>
  <si>
    <t>karim_st</t>
  </si>
  <si>
    <t>Kishor Krushna Tegade</t>
  </si>
  <si>
    <t>kishor_st</t>
  </si>
  <si>
    <t>Kuljeet Singh</t>
  </si>
  <si>
    <t>kuljeet_st</t>
  </si>
  <si>
    <t>Gurgaon</t>
  </si>
  <si>
    <t>Mithilesh Mishra</t>
  </si>
  <si>
    <t>mithlesh_st</t>
  </si>
  <si>
    <t>Mohd Ishhanque khan</t>
  </si>
  <si>
    <t>ishhanque_st</t>
  </si>
  <si>
    <t>Nilesh K Salunke</t>
  </si>
  <si>
    <t>nilesh_st</t>
  </si>
  <si>
    <t>Niranjan M</t>
  </si>
  <si>
    <t>niranjan_sts</t>
  </si>
  <si>
    <t>Pankaj Chaudhary</t>
  </si>
  <si>
    <t>pankaj_st</t>
  </si>
  <si>
    <t>Piyush Khobragade</t>
  </si>
  <si>
    <t>piyush_st</t>
  </si>
  <si>
    <t>Prabhakar Gopalrao Gaikwad</t>
  </si>
  <si>
    <t>prabhakar_st</t>
  </si>
  <si>
    <t>Pradeep  Brahampal Rajoria</t>
  </si>
  <si>
    <t>pradeep_st</t>
  </si>
  <si>
    <t>Raghvendra Kumar</t>
  </si>
  <si>
    <t>raghvendra_st</t>
  </si>
  <si>
    <t>Rajesh Shukla</t>
  </si>
  <si>
    <t>rajesh_sts</t>
  </si>
  <si>
    <t>UPW</t>
  </si>
  <si>
    <t>Rajnish Nimbark</t>
  </si>
  <si>
    <t>rajnish_st</t>
  </si>
  <si>
    <t>Gujarat</t>
  </si>
  <si>
    <t>RATAN BAHADHUR SINGH</t>
  </si>
  <si>
    <t>ratan_st</t>
  </si>
  <si>
    <t>RUPESH YASHWANT RANE</t>
  </si>
  <si>
    <t>rupesh_st</t>
  </si>
  <si>
    <t>Sachin Mahade</t>
  </si>
  <si>
    <t>sachin_st</t>
  </si>
  <si>
    <t>Sagar Deepak Gurav</t>
  </si>
  <si>
    <t>sagar_st</t>
  </si>
  <si>
    <t>Sagar Kanubhai</t>
  </si>
  <si>
    <t>sagark_st</t>
  </si>
  <si>
    <t>Sandeep Kumar Singh</t>
  </si>
  <si>
    <t>sanddepsingh_sts</t>
  </si>
  <si>
    <t>Project</t>
  </si>
  <si>
    <t>Sanjeev S Panwar</t>
  </si>
  <si>
    <t>sanjeev_st</t>
  </si>
  <si>
    <t>Satish Megaraj</t>
  </si>
  <si>
    <t>satish_st</t>
  </si>
  <si>
    <t>Saurabh Gupta</t>
  </si>
  <si>
    <t>saurabh_st</t>
  </si>
  <si>
    <t>Shabbir Khan</t>
  </si>
  <si>
    <t>shabbir_st</t>
  </si>
  <si>
    <t>Enterprise</t>
  </si>
  <si>
    <t>Business</t>
  </si>
  <si>
    <t>Shivanshu Dubey</t>
  </si>
  <si>
    <t>shivanshu_st</t>
  </si>
  <si>
    <t>Sibayan Ghosh</t>
  </si>
  <si>
    <t>sibayan_st</t>
  </si>
  <si>
    <t>Sunil P Bhagwat</t>
  </si>
  <si>
    <t>sunilb_st</t>
  </si>
  <si>
    <t>Suresh Gowda</t>
  </si>
  <si>
    <t>suresh_st</t>
  </si>
  <si>
    <t>Sushank Rajendra Mohakar</t>
  </si>
  <si>
    <t>sushank_sts</t>
  </si>
  <si>
    <t>Suyog Laxman Kajare</t>
  </si>
  <si>
    <t>suyog_st</t>
  </si>
  <si>
    <t>Vineet Rajpoot</t>
  </si>
  <si>
    <t>vineet_st</t>
  </si>
  <si>
    <t>Yogesh Naykodi</t>
  </si>
  <si>
    <t>yogesh_naykodi_st</t>
  </si>
  <si>
    <t>On Leave</t>
  </si>
  <si>
    <t>Validated Remark</t>
  </si>
  <si>
    <t>Reason for visit</t>
  </si>
  <si>
    <t>Location</t>
  </si>
  <si>
    <t>Need to Improve</t>
  </si>
  <si>
    <t>Form Type</t>
  </si>
  <si>
    <t>NA</t>
  </si>
  <si>
    <t>Filled 1 Form (Meeting Form)</t>
  </si>
  <si>
    <t>Filled 1 Form (OD Operation)</t>
  </si>
  <si>
    <t>Filled 1 Form (OD SURVEY)</t>
  </si>
  <si>
    <t>Filled 2 Form (Meeting Form)</t>
  </si>
  <si>
    <t>Filled 2 Form (OD SURVEY)</t>
  </si>
  <si>
    <t>Filled 4 Form (OD SURVEY)</t>
  </si>
  <si>
    <t>Filled 2 Form (OD Operation)</t>
  </si>
  <si>
    <t>Filled 3 Form (OD SURVEY)</t>
  </si>
  <si>
    <t>Filled 2 Form (1 Meeting &amp; 1 OD SURVEY)</t>
  </si>
  <si>
    <t>Filled 3 Form (Meeting Form)</t>
  </si>
  <si>
    <t>Did not filled the form</t>
  </si>
  <si>
    <t xml:space="preserve">Need to fill the form </t>
  </si>
  <si>
    <t>No work done</t>
  </si>
  <si>
    <t xml:space="preserve">Trying to acquire </t>
  </si>
  <si>
    <t>22.56079, 88.29782</t>
  </si>
  <si>
    <t>As discussed, Site visit (ID-VILKOFY26H0076) but location not matched as per site latlong</t>
  </si>
  <si>
    <t>Bhadaswar Sweets, Polba-Dadpur 712305</t>
  </si>
  <si>
    <t>WFO</t>
  </si>
  <si>
    <t>Kolkata Office</t>
  </si>
  <si>
    <t>22.57295, 88.431080</t>
  </si>
  <si>
    <t>12.8739, 77.5733</t>
  </si>
  <si>
    <t>Site Lat-Long</t>
  </si>
  <si>
    <t>NV Heights, 54 Kathanur Main Road, Gottigere</t>
  </si>
  <si>
    <t>As discussed, Site visit(ST-KAR-MACRO-049)but location not matched as per site latlong.(Approx 3km)</t>
  </si>
  <si>
    <t>EB connection check</t>
  </si>
  <si>
    <t>Work done, Verified</t>
  </si>
  <si>
    <t>Mumbai Office</t>
  </si>
  <si>
    <t>WFH</t>
  </si>
  <si>
    <t>Home</t>
  </si>
  <si>
    <t>28.63171, 77.388723-ST-DELHI-HPSC-011, 28.6281, 77.2918-ST-DELHI-HPSC-263</t>
  </si>
  <si>
    <t>306-4RT Gali No 3, Mandawali Village-Saket Block, Mandawali, Delhi</t>
  </si>
  <si>
    <t>Site Visit(ST-DELHI-HPSC-011 // ST-DELHI-HPSC-263)</t>
  </si>
  <si>
    <t>1-Site visit(sanjay Gandhi Postgraduate Institute of Medical Sciences )</t>
  </si>
  <si>
    <t>Ongoing IBS work</t>
  </si>
  <si>
    <t>Raibareli Road, S G P G I, Lucknow 226014</t>
  </si>
  <si>
    <t>26.744023,    80.949560</t>
  </si>
  <si>
    <t>Meet 1 people(Name- Kamal Sharma)</t>
  </si>
  <si>
    <t>B2A/93/JA, Ganesh Nagar-Block A, Tilak Nagar, Delhi</t>
  </si>
  <si>
    <t>Update all remark and fill the form on location</t>
  </si>
  <si>
    <t>Meet 1 people(Name- Parichay sir(Planning head))</t>
  </si>
  <si>
    <t>Meet 1 people(Name- Ankit Shrivastava)</t>
  </si>
  <si>
    <t>303, Makarba, Ahmedabad 380051</t>
  </si>
  <si>
    <t>Meet 1 people(Name- Mr. Rakesh)</t>
  </si>
  <si>
    <t>Customer Visit(ILL req)</t>
  </si>
  <si>
    <t>Mathura Main Road, Hsiidc Industrial Area, Sector 31, Faridabad </t>
  </si>
  <si>
    <t>Meet 1 people(Name- Neeraj Raut jayprakash yadav rashmi)</t>
  </si>
  <si>
    <t xml:space="preserve">Update all remark </t>
  </si>
  <si>
    <t>Skyline Icon, Marol-Mittal Industrial Estate, Andheri East, Mumbai </t>
  </si>
  <si>
    <t>Meet 1 people(Name- kenchaiah)</t>
  </si>
  <si>
    <t>12.735438, 77.275653</t>
  </si>
  <si>
    <t>Ramanagara, Ramanagara, Karnataka,</t>
  </si>
  <si>
    <t>18.7288, 73.7992</t>
  </si>
  <si>
    <t>Talawade Chakan Road, Phase 4, Nighoje, Khed</t>
  </si>
  <si>
    <t>Power tapping issue</t>
  </si>
  <si>
    <t>Meet 1 people(Name- Mr.. shivadhikari)(SiteID-ST-MAH-OD-0031 // M&amp;M - V Yard)</t>
  </si>
  <si>
    <t>19.178845, 72.874322</t>
  </si>
  <si>
    <t>Valentine Apartment, D/403/B3, Kurar Village-Pathan Wadi-Dindoshi, Malad East</t>
  </si>
  <si>
    <t>1-Site visit(Raheja residency IBS installation work)</t>
  </si>
  <si>
    <t>Fiber issue</t>
  </si>
  <si>
    <t>1-Site visit(ST-UPE-HPSC-007)</t>
  </si>
  <si>
    <t>26.48278, 80.33262</t>
  </si>
  <si>
    <t>96, Gwaltoli, Tilak Nagar, Kanpur </t>
  </si>
  <si>
    <t>TPMS alarm</t>
  </si>
  <si>
    <t>1603, Sector 10-Sector 10a-Urban Estate, Basai Village, Gurugram</t>
  </si>
  <si>
    <t>28.434038, 77.00462</t>
  </si>
  <si>
    <t>1-Site visit(ST-DELHI-HPSC-003)He forgot to fill the form at the site and completed it after reaching home. Distance is approx. 2 km</t>
  </si>
  <si>
    <t>Update all remark</t>
  </si>
  <si>
    <t>19.025526, 73.04222</t>
  </si>
  <si>
    <t>1-Site visit(STPL-MUM-OD-M0237)</t>
  </si>
  <si>
    <t>Mahakali Chowk, Sector 4, CBD Belapur, Navi Mumbai</t>
  </si>
  <si>
    <t>Owner Visit(Site rent not paid)</t>
  </si>
  <si>
    <t>19.065186, 72.843011</t>
  </si>
  <si>
    <t>180 Capt Yashwant Nilkantha Shel Thakar Marg, Nirmal Nagar, Bandra East</t>
  </si>
  <si>
    <t>1-Site visit(ST_MUM_HPSC_0149)</t>
  </si>
  <si>
    <t>New site build</t>
  </si>
  <si>
    <t>Billing discussions in the VIL office</t>
  </si>
  <si>
    <t>23.00385440, 72.5025992</t>
  </si>
  <si>
    <t>19.237353, 73.123467</t>
  </si>
  <si>
    <t>1-Site visit( Fortis Hospital-Kalyan)</t>
  </si>
  <si>
    <t>Kwality Walls, Bhoiwada-Bhanungr-Bail Bazar, Kalyan</t>
  </si>
  <si>
    <t>28.52232, 77.0829</t>
  </si>
  <si>
    <t>Pankaj Tea Stall, Old Delhi Gurgaon Road, Kapashera Border, Kapashera, Delhi</t>
  </si>
  <si>
    <t>1-Site visit(udyog vihar // 0466)</t>
  </si>
  <si>
    <t>Jaika Restaurant, Sativali Kaman Road, Gokhivare-Dewan and Shah Udyog NGR, Vasai East,</t>
  </si>
  <si>
    <t>1-Site visit(ST-MAH-OD-0072)</t>
  </si>
  <si>
    <t>Mains failed, site visit</t>
  </si>
  <si>
    <t>19.40743, 72.8521</t>
  </si>
  <si>
    <t>19.124824, 72.994244</t>
  </si>
  <si>
    <t>1-Site visit(VIL_FY25_13824)</t>
  </si>
  <si>
    <t>23.02474, 72.47352</t>
  </si>
  <si>
    <t>43, Bopal, Ahmedabad 380058, India</t>
  </si>
  <si>
    <t>Ghansoli Main Road, Talavali-Ghansoli Gaon, Ghansoli, Navi Mumbai</t>
  </si>
  <si>
    <t>1-Site visit(virel0584)</t>
  </si>
  <si>
    <t>8/A, Somwar Peth, Pune 411011</t>
  </si>
  <si>
    <t>18.5215, 73.864908-ID PU1499,  18.52363983, 73.86283696-Maldhakka Chowk relocation</t>
  </si>
  <si>
    <t xml:space="preserve">Meeting regarding Mobility, Trying to acquire </t>
  </si>
  <si>
    <t xml:space="preserve">Meet 1 people(Rajesh Sharma, Chairman) &amp; Trying to acquire </t>
  </si>
  <si>
    <t>Meeting in discussion with CP regarding business</t>
  </si>
  <si>
    <t>Meet 1 people(Owner, Director, Meet 1 people(Principal)</t>
  </si>
  <si>
    <t>Co2, Rajdanga Main Road, Sector E, East Kolkata Township</t>
  </si>
  <si>
    <t>22.514060, 88.3941041</t>
  </si>
  <si>
    <t>Meeting done with owner</t>
  </si>
  <si>
    <t>12.9712393, 77.6351524</t>
  </si>
  <si>
    <t>East West Building, 13th Cross Road, Appareddy Palya, Indira Nagar, Bengaluru 560038</t>
  </si>
  <si>
    <t>Meet 1 people(Siddharth Choudhary(Project Manager), Director, Meet 1 people(Makarand Jadhav(Project Manager))</t>
  </si>
  <si>
    <t>IBS survey done</t>
  </si>
  <si>
    <t>Pune</t>
  </si>
  <si>
    <t>18.56875, 73.954760</t>
  </si>
  <si>
    <t>Meet 1 people(Puspendu Bhattacharya, Director, Meet 1 people(Mr Das,IT Manager)</t>
  </si>
  <si>
    <t>22.514912,88.379435</t>
  </si>
  <si>
    <t>IBS-Funnel Discussion(Leads Received Two)</t>
  </si>
  <si>
    <t>FTTH-Airtel power issue, lease line</t>
  </si>
  <si>
    <t>2-Site visit(bhramnivash society,sholt hotel faridabad)</t>
  </si>
  <si>
    <t>Ongoing IBS work &amp; Site down</t>
  </si>
  <si>
    <t>2-Site visit(Raheja residency IBS installation work) &amp; Snehal Garden</t>
  </si>
  <si>
    <t>19.178845, 72.874322 &amp; 19.272397, 72.887752(ST_MUM_HPSC_0131)</t>
  </si>
  <si>
    <t>share to SP(survey permission given)</t>
  </si>
  <si>
    <t>Shri Sainath Kirana Store, Station Road, Diva West, Thane</t>
  </si>
  <si>
    <t>2-Site Visit (Vita bai apt) &amp; (lahu sumruti niwas)</t>
  </si>
  <si>
    <t>19.190319 73.039938 &amp; 19.2120146, 73.1147628</t>
  </si>
  <si>
    <t>(Owner backout due to public issue, Praposal send on mail by Saurabh Gupta, Under discussion for permission with owners association)</t>
  </si>
  <si>
    <t>C13, Tech Zone 4, Greater Noida 201009, India</t>
  </si>
  <si>
    <t>Meet 1 people(Shahrukh,owner), Meet 1 people(Ashok,Asst Manager),Meet 1 people(Maintnence Staff,Asst Manager),  3-Site Name(Dallopura trilokpuri, Homes 121, Techzone 4) Offline SR.</t>
  </si>
  <si>
    <t>28.60886,77.3092256 &amp; 28.59876, 77.4024792 &amp;28.589095, 77.44440</t>
  </si>
  <si>
    <t>Site Visit(Shree samarth chs)</t>
  </si>
  <si>
    <t>19.082862 72.851958</t>
  </si>
  <si>
    <t>Prideivvakola CHS Limited, Jansmpak Karyalaya Road, Vakola-Ashok NGR-Dmello Compound, Santacruz East, Mumbai 400055</t>
  </si>
  <si>
    <t>For each site, update only one form.(form submitted twice)</t>
  </si>
  <si>
    <t>Ongoing tower installation</t>
  </si>
  <si>
    <t>RF Survey</t>
  </si>
  <si>
    <t>19.0243 73.0445</t>
  </si>
  <si>
    <t>7 Vasudev Balwant Phadke Marg, Sector 5, CBD Belapur, Navi Mumbai</t>
  </si>
  <si>
    <t>Site Visit(SS870, SS871, SS869)</t>
  </si>
  <si>
    <t>Meeting in Chakan (Horizon Industrial Park) and Kharadi (AP4 Tower)</t>
  </si>
  <si>
    <t>18.762326, 73.7699335</t>
  </si>
  <si>
    <t>Raf survey done &amp; praposal submitted</t>
  </si>
  <si>
    <t>Meet 1 people Mr. Solanki(Owner) , Meet 1 people Chavan(Ex corporator), Mr.Jog sir(Owner)</t>
  </si>
  <si>
    <t>Chakan &amp; Kharadi</t>
  </si>
  <si>
    <t>19.081317,72.841627</t>
  </si>
  <si>
    <t>Milan Hair Dresser, Santacruz Station Road, Railway Clny-Gulab Baug, Santacruz West, Mumbai</t>
  </si>
  <si>
    <t>21.04775, 73.34271 &amp; 21.2961, 73.3988</t>
  </si>
  <si>
    <t>Khanpur Primary School, Vyara Sub-District 394641</t>
  </si>
  <si>
    <t>2-Site Visit(VIRel0979, VIRel0961)</t>
  </si>
  <si>
    <t>Travelled from Noida Sector 2 to Faridabad</t>
  </si>
  <si>
    <t>O&amp;M staff were on leave, so he was called to Noida on Sunday to look into the outage.</t>
  </si>
  <si>
    <t>Noida</t>
  </si>
  <si>
    <t>As discussed,WFH</t>
  </si>
  <si>
    <t>22.572928,88.431119</t>
  </si>
  <si>
    <t>Bengaluru Office</t>
  </si>
  <si>
    <t>12.971302, 77.61276467</t>
  </si>
  <si>
    <t>28.476166, 77.093109</t>
  </si>
  <si>
    <t>Gurgaon Office</t>
  </si>
  <si>
    <t>SP validation</t>
  </si>
  <si>
    <t>Meerut</t>
  </si>
  <si>
    <t>Weekly review with oprator</t>
  </si>
  <si>
    <t>19.1058415882101, 72.88115949668138</t>
  </si>
  <si>
    <t>28.634601, 77.0903607</t>
  </si>
  <si>
    <t>1677, NH-19, Rajendra Colony, Sector 28, Faridabad, Haryana 121008, India</t>
  </si>
  <si>
    <t>28.4310146, 77.3100308</t>
  </si>
  <si>
    <t>Confirmed with Jui ma’am — he is on leave.</t>
  </si>
  <si>
    <t xml:space="preserve">	Confirmed with Jui ma’am — he is on leave, but the leave has not been applied.</t>
  </si>
  <si>
    <t>Row Labels</t>
  </si>
  <si>
    <t>Grand Total</t>
  </si>
  <si>
    <t>Column Labels</t>
  </si>
  <si>
    <t>Count of Validated Remark</t>
  </si>
  <si>
    <t>Employee productivity analysis - April 06th,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</si>
</sst>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7" borderId="0" xfId="0" applyFon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NumberForma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ya\Downloads\EMPLOYEE-2026-01-13-160145.xlsx" TargetMode="External"/><Relationship Id="rId1" Type="http://schemas.openxmlformats.org/officeDocument/2006/relationships/externalLinkPath" Target="file:///C:\Users\priya\Downloads\EMPLOYEE-2026-01-13-16014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ya\Downloads\Report-1775712587659.xlsx" TargetMode="External"/><Relationship Id="rId1" Type="http://schemas.openxmlformats.org/officeDocument/2006/relationships/externalLinkPath" Target="file:///C:\Users\priya\Downloads\Report-177571258765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ya\Downloads\Report-1775712696282.xlsx" TargetMode="External"/><Relationship Id="rId1" Type="http://schemas.openxmlformats.org/officeDocument/2006/relationships/externalLinkPath" Target="file:///C:\Users\priya\Downloads\Report-177571269628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ya\Downloads\Productivity%20Report-2026-04-09-110406.xlsx" TargetMode="External"/><Relationship Id="rId1" Type="http://schemas.openxmlformats.org/officeDocument/2006/relationships/externalLinkPath" Target="file:///C:\Users\priya\Downloads\Productivity%20Report-2026-04-09-1104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>
        <row r="1">
          <cell r="A1" t="str">
            <v>Title</v>
          </cell>
          <cell r="B1" t="str">
            <v>Description</v>
          </cell>
          <cell r="C1" t="str">
            <v>Field Executive Full Name</v>
          </cell>
          <cell r="D1" t="str">
            <v>Field Executive Email</v>
          </cell>
          <cell r="E1" t="str">
            <v>Field Executive Phone</v>
          </cell>
          <cell r="F1" t="str">
            <v>Field Executive Team Id</v>
          </cell>
          <cell r="G1" t="str">
            <v>Field Executive Username</v>
          </cell>
          <cell r="H1" t="str">
            <v>Field Executive Status</v>
          </cell>
          <cell r="I1" t="str">
            <v>Reporting Manager</v>
          </cell>
          <cell r="J1" t="str">
            <v>Segment</v>
          </cell>
          <cell r="K1" t="str">
            <v>City</v>
          </cell>
          <cell r="L1" t="str">
            <v>Mode of Job</v>
          </cell>
        </row>
        <row r="2">
          <cell r="A2" t="str">
            <v>Abhijeet Tukaram Gawthe</v>
          </cell>
          <cell r="B2" t="str">
            <v>Mumbai - Enterprise - NAAS - Engineer</v>
          </cell>
          <cell r="C2" t="str">
            <v>Abhijeet Tukaram Gawthe</v>
          </cell>
          <cell r="D2" t="str">
            <v>abhijeet.gawthe@shaurryatele.com</v>
          </cell>
          <cell r="E2" t="str">
            <v>9967900154</v>
          </cell>
          <cell r="F2" t="str">
            <v>Shaurrya Teleservices</v>
          </cell>
          <cell r="G2" t="str">
            <v>abhijeet_sts</v>
          </cell>
          <cell r="H2" t="str">
            <v>Active</v>
          </cell>
          <cell r="I2" t="str">
            <v>admin_shaurrya</v>
          </cell>
          <cell r="J2" t="str">
            <v>Enterprise</v>
          </cell>
          <cell r="K2" t="str">
            <v>Mumbai</v>
          </cell>
          <cell r="L2" t="str">
            <v>Project</v>
          </cell>
        </row>
        <row r="3">
          <cell r="A3" t="str">
            <v>Abhiman Ganguly</v>
          </cell>
          <cell r="B3" t="str">
            <v xml:space="preserve">WB-KOL-Mobility-Circle Head
</v>
          </cell>
          <cell r="C3" t="str">
            <v>Abhiman Ganguly</v>
          </cell>
          <cell r="D3" t="str">
            <v>abhiman.ganguly@shaurryatele.com</v>
          </cell>
          <cell r="E3" t="str">
            <v>9903451369</v>
          </cell>
          <cell r="F3" t="str">
            <v>Abhiman Ganguly</v>
          </cell>
          <cell r="G3" t="str">
            <v>abhiman_st</v>
          </cell>
          <cell r="H3" t="str">
            <v>Active</v>
          </cell>
          <cell r="I3" t="str">
            <v>sanjeevg_st</v>
          </cell>
          <cell r="J3" t="str">
            <v>Mobility</v>
          </cell>
          <cell r="K3" t="str">
            <v>Kolkata</v>
          </cell>
          <cell r="L3" t="str">
            <v>Business</v>
          </cell>
        </row>
        <row r="4">
          <cell r="A4" t="str">
            <v>Adesh Kumar Patel</v>
          </cell>
          <cell r="B4" t="str">
            <v xml:space="preserve">Delhi - Mobility - maintenance
</v>
          </cell>
          <cell r="C4" t="str">
            <v>Adesh Kumar Patel</v>
          </cell>
          <cell r="D4" t="str">
            <v>adesh_st_1739513014692@skedulomatic.com</v>
          </cell>
          <cell r="E4" t="str">
            <v>8448102503</v>
          </cell>
          <cell r="F4" t="str">
            <v>Pankaj Choudhary</v>
          </cell>
          <cell r="G4" t="str">
            <v>adesh_st</v>
          </cell>
          <cell r="H4" t="str">
            <v>Active</v>
          </cell>
          <cell r="I4" t="str">
            <v>pankaj_st</v>
          </cell>
          <cell r="J4" t="str">
            <v>Mobility</v>
          </cell>
          <cell r="K4" t="str">
            <v>Delhi</v>
          </cell>
          <cell r="L4" t="str">
            <v>O&amp;M</v>
          </cell>
        </row>
        <row r="5">
          <cell r="A5" t="str">
            <v>Afsar Ali</v>
          </cell>
          <cell r="B5" t="str">
            <v xml:space="preserve">Mumbai - Mobility - Acquisition
</v>
          </cell>
          <cell r="C5" t="str">
            <v>Afsar Ali</v>
          </cell>
          <cell r="D5" t="str">
            <v>afsarali909@gmail.com</v>
          </cell>
          <cell r="E5" t="str">
            <v>8452030267</v>
          </cell>
          <cell r="F5" t="str">
            <v>Sunil P Bhagwat</v>
          </cell>
          <cell r="G5" t="str">
            <v>afsar_st</v>
          </cell>
          <cell r="H5" t="str">
            <v>Active</v>
          </cell>
          <cell r="I5" t="str">
            <v>sunilb_st</v>
          </cell>
          <cell r="J5" t="str">
            <v>Mobility</v>
          </cell>
          <cell r="K5" t="str">
            <v>Mumbai</v>
          </cell>
          <cell r="L5" t="str">
            <v>Acquisition team</v>
          </cell>
        </row>
        <row r="6">
          <cell r="A6" t="str">
            <v>Akhilesh</v>
          </cell>
          <cell r="B6" t="str">
            <v xml:space="preserve">Mumbai - Mobility - O&amp;M
</v>
          </cell>
          <cell r="C6" t="str">
            <v>Akhilesh Premprakash Giri</v>
          </cell>
          <cell r="D6" t="str">
            <v>akhilesh@shaurryatele.com</v>
          </cell>
          <cell r="E6" t="str">
            <v>9029208855</v>
          </cell>
          <cell r="F6" t="str">
            <v>Sunil P Bhagwat</v>
          </cell>
          <cell r="G6" t="str">
            <v>akhilesh_st</v>
          </cell>
          <cell r="H6" t="str">
            <v>Active</v>
          </cell>
          <cell r="I6" t="str">
            <v>sunilb_st</v>
          </cell>
          <cell r="J6" t="str">
            <v>Mobility</v>
          </cell>
          <cell r="K6" t="str">
            <v>Mumbai</v>
          </cell>
          <cell r="L6" t="str">
            <v>O&amp;M</v>
          </cell>
        </row>
        <row r="7">
          <cell r="A7" t="str">
            <v>Amaan Aijaz</v>
          </cell>
          <cell r="B7" t="str">
            <v>UPE - Mobility - Project &amp; Maintenance</v>
          </cell>
          <cell r="C7" t="str">
            <v>Amaan Aijaz</v>
          </cell>
          <cell r="D7" t="str">
            <v>amaan_st_1739512518637@skedulomatic.com</v>
          </cell>
          <cell r="E7" t="str">
            <v>9936837499</v>
          </cell>
          <cell r="F7" t="str">
            <v>Sandeep Rana</v>
          </cell>
          <cell r="G7" t="str">
            <v>amaan_st</v>
          </cell>
          <cell r="H7" t="str">
            <v>Active</v>
          </cell>
          <cell r="I7" t="str">
            <v>sandeep_st</v>
          </cell>
          <cell r="J7" t="str">
            <v>Mobility</v>
          </cell>
          <cell r="K7" t="str">
            <v>Kanpur</v>
          </cell>
          <cell r="L7" t="str">
            <v>O&amp;M</v>
          </cell>
        </row>
        <row r="8">
          <cell r="A8" t="str">
            <v>Anish Kumar</v>
          </cell>
          <cell r="B8" t="str">
            <v>Delhi - Enterprise -Site Development &amp; Maintenance FTTH</v>
          </cell>
          <cell r="C8" t="str">
            <v>Anish Kumar</v>
          </cell>
          <cell r="D8" t="str">
            <v>anish.kumar9333@gmail.com</v>
          </cell>
          <cell r="E8" t="str">
            <v>8368895208</v>
          </cell>
          <cell r="F8" t="str">
            <v>Pankaj Gaurav</v>
          </cell>
          <cell r="G8" t="str">
            <v>anish_st</v>
          </cell>
          <cell r="H8" t="str">
            <v>Active</v>
          </cell>
          <cell r="I8" t="str">
            <v>pankajg_st</v>
          </cell>
          <cell r="J8" t="str">
            <v>Enterprise</v>
          </cell>
          <cell r="K8" t="str">
            <v>Delhi</v>
          </cell>
          <cell r="L8" t="str">
            <v>O&amp;M</v>
          </cell>
        </row>
        <row r="9">
          <cell r="A9" t="str">
            <v>Ankaj Chaudhary</v>
          </cell>
          <cell r="B9" t="str">
            <v>Delhi - Mobility - Site Development &amp; Maintenance</v>
          </cell>
          <cell r="C9" t="str">
            <v>Ankaj Chaudhary</v>
          </cell>
          <cell r="D9" t="str">
            <v>ankaj@shaurryatele.com</v>
          </cell>
          <cell r="E9" t="str">
            <v>8395061400</v>
          </cell>
          <cell r="F9" t="str">
            <v>Pankaj Choudhary</v>
          </cell>
          <cell r="G9" t="str">
            <v>ankaj_st</v>
          </cell>
          <cell r="H9" t="str">
            <v>Active</v>
          </cell>
          <cell r="I9" t="str">
            <v>pankaj_st</v>
          </cell>
          <cell r="J9" t="str">
            <v>Mobility</v>
          </cell>
          <cell r="K9" t="str">
            <v>Delhi</v>
          </cell>
          <cell r="L9" t="str">
            <v>O&amp;M</v>
          </cell>
        </row>
        <row r="10">
          <cell r="A10" t="str">
            <v>Arsadur Rahaman Halder</v>
          </cell>
          <cell r="B10" t="str">
            <v xml:space="preserve">WB - Mobility - Electrical Technician
</v>
          </cell>
          <cell r="C10" t="str">
            <v>Arsadur Rahaman Halder</v>
          </cell>
          <cell r="D10" t="str">
            <v>dlrhalder1@gmail.com</v>
          </cell>
          <cell r="E10" t="str">
            <v>09800291987</v>
          </cell>
          <cell r="F10" t="str">
            <v>Abhiman Ganguly</v>
          </cell>
          <cell r="G10" t="str">
            <v>arsadur_st</v>
          </cell>
          <cell r="H10" t="str">
            <v>Active</v>
          </cell>
          <cell r="I10" t="str">
            <v>abhiman_st</v>
          </cell>
          <cell r="J10" t="str">
            <v>Mobility</v>
          </cell>
          <cell r="K10" t="str">
            <v>Kolkata</v>
          </cell>
          <cell r="L10" t="str">
            <v>O&amp;M</v>
          </cell>
        </row>
        <row r="11">
          <cell r="A11" t="str">
            <v>Ashok Soni</v>
          </cell>
          <cell r="B11" t="str">
            <v>Mumbai - Mobility - O&amp;M</v>
          </cell>
          <cell r="C11" t="str">
            <v>Ashok Soni</v>
          </cell>
          <cell r="D11" t="str">
            <v>ashok@shaurryatele.com</v>
          </cell>
          <cell r="E11" t="str">
            <v>6386637010</v>
          </cell>
          <cell r="F11" t="str">
            <v>Sunil P Bhagwat</v>
          </cell>
          <cell r="G11" t="str">
            <v>ashok_st</v>
          </cell>
          <cell r="H11" t="str">
            <v>Active</v>
          </cell>
          <cell r="I11" t="str">
            <v>sunilb_st</v>
          </cell>
          <cell r="J11" t="str">
            <v>Mobility</v>
          </cell>
          <cell r="K11" t="str">
            <v>Mumbai</v>
          </cell>
          <cell r="L11" t="str">
            <v>O&amp;M</v>
          </cell>
        </row>
        <row r="12">
          <cell r="A12" t="str">
            <v>Badhan Sarkar</v>
          </cell>
          <cell r="B12" t="str">
            <v xml:space="preserve">WB - Mobility - Project
</v>
          </cell>
          <cell r="C12" t="str">
            <v>Badhan Sarkar</v>
          </cell>
          <cell r="D12" t="str">
            <v>badhan_st_1739512943695@skedulomatic.com</v>
          </cell>
          <cell r="E12" t="str">
            <v>7003719849</v>
          </cell>
          <cell r="F12" t="str">
            <v>Abhiman Ganguly</v>
          </cell>
          <cell r="G12" t="str">
            <v>badhan_st</v>
          </cell>
          <cell r="H12" t="str">
            <v>Active</v>
          </cell>
          <cell r="I12" t="str">
            <v>abhiman_st</v>
          </cell>
          <cell r="J12" t="str">
            <v>Mobility</v>
          </cell>
          <cell r="K12" t="str">
            <v>Kolkata</v>
          </cell>
          <cell r="L12" t="str">
            <v>Project</v>
          </cell>
        </row>
        <row r="13">
          <cell r="A13" t="str">
            <v>Dattatray Ganpat Ranmakar</v>
          </cell>
          <cell r="B13" t="str">
            <v xml:space="preserve">MH - Mobility - Circle Head
</v>
          </cell>
          <cell r="C13" t="str">
            <v>Dattatray Ganpat Ranmakar</v>
          </cell>
          <cell r="D13" t="str">
            <v>dattatray_st_1739512867228@skedulomatic.com</v>
          </cell>
          <cell r="E13" t="str">
            <v>8888806810</v>
          </cell>
          <cell r="F13" t="str">
            <v>Dattatray Ganpat Ranmakar</v>
          </cell>
          <cell r="G13" t="str">
            <v>dattatray_st</v>
          </cell>
          <cell r="H13" t="str">
            <v>Active</v>
          </cell>
          <cell r="I13" t="str">
            <v>sanjeevg_st</v>
          </cell>
          <cell r="J13" t="str">
            <v>Mobility</v>
          </cell>
          <cell r="K13" t="str">
            <v>Pune</v>
          </cell>
          <cell r="L13" t="str">
            <v>Business</v>
          </cell>
        </row>
        <row r="14">
          <cell r="A14" t="str">
            <v>Deepanshu Pandey </v>
          </cell>
          <cell r="B14" t="str">
            <v xml:space="preserve">UPE - Mobility - Acquisition
</v>
          </cell>
          <cell r="C14" t="str">
            <v>Deepanshu Pandey </v>
          </cell>
          <cell r="D14" t="str">
            <v>dipanshu_st_1727956485051@skedulomatic.com</v>
          </cell>
          <cell r="E14" t="str">
            <v>9140864299</v>
          </cell>
          <cell r="F14" t="str">
            <v>Sandeep Rana</v>
          </cell>
          <cell r="G14" t="str">
            <v>dipanshu_st</v>
          </cell>
          <cell r="H14" t="str">
            <v>Active</v>
          </cell>
          <cell r="I14" t="str">
            <v>sandeep_st</v>
          </cell>
          <cell r="J14" t="str">
            <v>Mobility</v>
          </cell>
          <cell r="K14" t="str">
            <v>Lucknow</v>
          </cell>
          <cell r="L14" t="str">
            <v>Acquisition team</v>
          </cell>
        </row>
        <row r="15">
          <cell r="A15" t="str">
            <v>Devendra Pal Singh</v>
          </cell>
          <cell r="B15" t="str">
            <v xml:space="preserve">Delhi - Mobility - Acquisition
</v>
          </cell>
          <cell r="C15" t="str">
            <v>Devendra Pal Singh</v>
          </cell>
          <cell r="D15" t="str">
            <v>devendrapals1997@gmail.com</v>
          </cell>
          <cell r="E15" t="str">
            <v>8630522698</v>
          </cell>
          <cell r="F15" t="str">
            <v>Saurabh Gupta</v>
          </cell>
          <cell r="G15" t="str">
            <v>devendra_st</v>
          </cell>
          <cell r="H15" t="str">
            <v>Active</v>
          </cell>
          <cell r="I15" t="str">
            <v>saurabh_st</v>
          </cell>
          <cell r="J15" t="str">
            <v>Mobility</v>
          </cell>
          <cell r="K15" t="str">
            <v>Delhi</v>
          </cell>
          <cell r="L15" t="str">
            <v>Acquisition team</v>
          </cell>
        </row>
        <row r="16">
          <cell r="A16" t="str">
            <v>GANESH KUMBHAR</v>
          </cell>
          <cell r="B16" t="str">
            <v>MH - Mobility - Acquisition</v>
          </cell>
          <cell r="C16" t="str">
            <v>Ganesh Bhimsen Kumbhar</v>
          </cell>
          <cell r="D16" t="str">
            <v>ganeshkumbhar424@gmail.com</v>
          </cell>
          <cell r="E16" t="str">
            <v>9823982397</v>
          </cell>
          <cell r="F16" t="str">
            <v>Dattatray Ganpat Ranmakar</v>
          </cell>
          <cell r="G16" t="str">
            <v>ganeshk_st</v>
          </cell>
          <cell r="H16" t="str">
            <v>Active</v>
          </cell>
          <cell r="I16" t="str">
            <v>dattatray_st</v>
          </cell>
          <cell r="J16" t="str">
            <v>Mobility</v>
          </cell>
          <cell r="K16" t="str">
            <v>Pune</v>
          </cell>
          <cell r="L16" t="str">
            <v>Acquisition team</v>
          </cell>
        </row>
        <row r="17">
          <cell r="A17" t="str">
            <v>Gopal</v>
          </cell>
          <cell r="B17" t="str">
            <v xml:space="preserve">Mumbai - Mobility - O&amp;M
</v>
          </cell>
          <cell r="C17" t="str">
            <v>Gopal  Sonkar</v>
          </cell>
          <cell r="D17" t="str">
            <v>gopal@shaurryatele.com</v>
          </cell>
          <cell r="E17" t="str">
            <v>8433656064</v>
          </cell>
          <cell r="F17" t="str">
            <v>Sunil P Bhagwat</v>
          </cell>
          <cell r="G17" t="str">
            <v>gopal_st</v>
          </cell>
          <cell r="H17" t="str">
            <v>Active</v>
          </cell>
          <cell r="I17" t="str">
            <v>sunilb_st</v>
          </cell>
          <cell r="J17" t="str">
            <v>Mobility</v>
          </cell>
          <cell r="K17" t="str">
            <v>Mumbai</v>
          </cell>
          <cell r="L17" t="str">
            <v>O&amp;M</v>
          </cell>
        </row>
        <row r="18">
          <cell r="A18" t="str">
            <v>Hariharan B</v>
          </cell>
          <cell r="B18" t="str">
            <v xml:space="preserve">Bangalore - Enterprise - Project Operation Manager
</v>
          </cell>
          <cell r="C18" t="str">
            <v>Hariharan B</v>
          </cell>
          <cell r="D18" t="str">
            <v>hariharan.b@shaurryatele.com</v>
          </cell>
          <cell r="E18" t="str">
            <v>9108399649</v>
          </cell>
          <cell r="F18" t="str">
            <v>Deepak Nadar</v>
          </cell>
          <cell r="G18" t="str">
            <v>hariharan_st</v>
          </cell>
          <cell r="H18" t="str">
            <v>Active</v>
          </cell>
          <cell r="I18" t="str">
            <v>deepak_sts</v>
          </cell>
          <cell r="J18" t="str">
            <v>Enterprise</v>
          </cell>
          <cell r="K18" t="str">
            <v>Bangalore</v>
          </cell>
          <cell r="L18" t="str">
            <v>Project</v>
          </cell>
        </row>
        <row r="19">
          <cell r="A19" t="str">
            <v>Irrappa Bassapa</v>
          </cell>
          <cell r="B19" t="str">
            <v xml:space="preserve">KTK - Mobility - O&amp;M
</v>
          </cell>
          <cell r="C19" t="str">
            <v>Irrappa Bassapa</v>
          </cell>
          <cell r="D19" t="str">
            <v>irrappa_st_1745326877742@skedulomatic.com</v>
          </cell>
          <cell r="E19" t="str">
            <v>9483795832</v>
          </cell>
          <cell r="F19" t="str">
            <v>Sanjeev Goel</v>
          </cell>
          <cell r="G19" t="str">
            <v>irrappa_st</v>
          </cell>
          <cell r="H19" t="str">
            <v>Active</v>
          </cell>
          <cell r="I19" t="str">
            <v>sanjeevg_st</v>
          </cell>
          <cell r="J19" t="str">
            <v>Mobility</v>
          </cell>
          <cell r="K19" t="str">
            <v>Bengaluru</v>
          </cell>
          <cell r="L19" t="str">
            <v>O&amp;M</v>
          </cell>
        </row>
        <row r="20">
          <cell r="A20" t="str">
            <v>Karim Khan</v>
          </cell>
          <cell r="B20" t="str">
            <v xml:space="preserve">WB - Mobility - Project
</v>
          </cell>
          <cell r="C20" t="str">
            <v>Karim Khan</v>
          </cell>
          <cell r="D20" t="str">
            <v>karim_st_1739511162032@skedulomatic.com</v>
          </cell>
          <cell r="E20" t="str">
            <v>8515863762</v>
          </cell>
          <cell r="F20" t="str">
            <v>Abhiman Ganguly</v>
          </cell>
          <cell r="G20" t="str">
            <v>karim_st</v>
          </cell>
          <cell r="H20" t="str">
            <v>Active</v>
          </cell>
          <cell r="I20" t="str">
            <v>abhiman_st</v>
          </cell>
          <cell r="J20" t="str">
            <v>Mobility</v>
          </cell>
          <cell r="K20" t="str">
            <v>Kolkata</v>
          </cell>
          <cell r="L20" t="str">
            <v>Project</v>
          </cell>
        </row>
        <row r="21">
          <cell r="A21" t="str">
            <v>Kishor Krushna Tegade</v>
          </cell>
          <cell r="B21" t="str">
            <v xml:space="preserve">Mumbai - Mobility - O&amp;M
</v>
          </cell>
          <cell r="C21" t="str">
            <v>Kishor Krushna Tegade</v>
          </cell>
          <cell r="D21" t="str">
            <v>kishor@shaurryatele.com</v>
          </cell>
          <cell r="E21" t="str">
            <v>73025 56851</v>
          </cell>
          <cell r="F21" t="str">
            <v>Sunil P Bhagwat</v>
          </cell>
          <cell r="G21" t="str">
            <v>kishor_st</v>
          </cell>
          <cell r="H21" t="str">
            <v>Active</v>
          </cell>
          <cell r="I21" t="str">
            <v>sunilb_st</v>
          </cell>
          <cell r="J21" t="str">
            <v>Mobility</v>
          </cell>
          <cell r="K21" t="str">
            <v>Mumbai</v>
          </cell>
          <cell r="L21" t="str">
            <v>O&amp;M</v>
          </cell>
        </row>
        <row r="22">
          <cell r="A22" t="str">
            <v>Kuljeet Singh</v>
          </cell>
          <cell r="B22" t="str">
            <v xml:space="preserve">Delhi - Enterprise - Channel Partner Manager
</v>
          </cell>
          <cell r="C22" t="str">
            <v>Kuljeet Singh</v>
          </cell>
          <cell r="D22" t="str">
            <v>kuljeet.singh@shaurryatele.com</v>
          </cell>
          <cell r="E22" t="str">
            <v>9717317777</v>
          </cell>
          <cell r="F22" t="str">
            <v>Deepak Nadar</v>
          </cell>
          <cell r="G22" t="str">
            <v>kuljeet_st</v>
          </cell>
          <cell r="H22" t="str">
            <v>Active</v>
          </cell>
          <cell r="I22" t="str">
            <v>deepak_sts</v>
          </cell>
          <cell r="J22" t="str">
            <v>Enterprise</v>
          </cell>
          <cell r="K22" t="str">
            <v>Gurgaon</v>
          </cell>
          <cell r="L22" t="str">
            <v>O&amp;M</v>
          </cell>
        </row>
        <row r="23">
          <cell r="A23" t="str">
            <v>Mithilesh Kumar</v>
          </cell>
          <cell r="B23" t="str">
            <v xml:space="preserve">Delhi - Mobility - Site Development &amp; Maintenance
</v>
          </cell>
          <cell r="C23" t="str">
            <v>Mithilesh Mishra</v>
          </cell>
          <cell r="D23" t="str">
            <v>mithlesh_st_1727955795944@skedulomatic.com</v>
          </cell>
          <cell r="E23" t="str">
            <v>9315997041</v>
          </cell>
          <cell r="F23" t="str">
            <v>Pankaj Choudhary</v>
          </cell>
          <cell r="G23" t="str">
            <v>mithlesh_st</v>
          </cell>
          <cell r="H23" t="str">
            <v>Active</v>
          </cell>
          <cell r="I23" t="str">
            <v>pankaj_st</v>
          </cell>
          <cell r="J23" t="str">
            <v>Mobility</v>
          </cell>
          <cell r="K23" t="str">
            <v>Delhi</v>
          </cell>
          <cell r="L23" t="str">
            <v>O&amp;M</v>
          </cell>
        </row>
        <row r="24">
          <cell r="A24" t="str">
            <v>Mohd Ishhanque khan</v>
          </cell>
          <cell r="B24" t="str">
            <v xml:space="preserve">Mumbai - Mobility - Acquisition
</v>
          </cell>
          <cell r="C24" t="str">
            <v>Mohd Ishhanque khan</v>
          </cell>
          <cell r="D24" t="str">
            <v>ishhanque_st_1758198048659@skedulomatic.com</v>
          </cell>
          <cell r="E24" t="str">
            <v>7607459251</v>
          </cell>
          <cell r="F24" t="str">
            <v>Sunil P Bhagwat</v>
          </cell>
          <cell r="G24" t="str">
            <v>ishhanque_st</v>
          </cell>
          <cell r="H24" t="str">
            <v>Active</v>
          </cell>
          <cell r="I24" t="str">
            <v>sunilb_st</v>
          </cell>
          <cell r="J24" t="str">
            <v>Mobility</v>
          </cell>
          <cell r="K24" t="str">
            <v>Mumbai</v>
          </cell>
          <cell r="L24" t="str">
            <v>Acquisition team</v>
          </cell>
        </row>
        <row r="25">
          <cell r="A25" t="str">
            <v>Nilesh K Salunke</v>
          </cell>
          <cell r="B25" t="str">
            <v xml:space="preserve">Mumbai - Mobility - Project
</v>
          </cell>
          <cell r="C25" t="str">
            <v>Nilesh K Salunke</v>
          </cell>
          <cell r="D25" t="str">
            <v>nilesh.salunke@shaurryatele.com</v>
          </cell>
          <cell r="E25" t="str">
            <v>9152315709</v>
          </cell>
          <cell r="F25" t="str">
            <v>Sanjeev Goel</v>
          </cell>
          <cell r="G25" t="str">
            <v>nilesh_st</v>
          </cell>
          <cell r="H25" t="str">
            <v>Active</v>
          </cell>
          <cell r="I25" t="str">
            <v>sanjeevg_st</v>
          </cell>
          <cell r="J25" t="str">
            <v>Mobility</v>
          </cell>
          <cell r="K25" t="str">
            <v>Mumbai</v>
          </cell>
          <cell r="L25" t="str">
            <v>Project</v>
          </cell>
        </row>
        <row r="26">
          <cell r="A26" t="str">
            <v>Niranjan M</v>
          </cell>
          <cell r="B26" t="str">
            <v xml:space="preserve">KTK - Mobility - Acquisition
</v>
          </cell>
          <cell r="C26" t="str">
            <v>Niranjan M</v>
          </cell>
          <cell r="D26" t="str">
            <v>niranjan.m@shaurryatele.com</v>
          </cell>
          <cell r="E26" t="str">
            <v>9742241071</v>
          </cell>
          <cell r="F26" t="str">
            <v>Satish Megaraj</v>
          </cell>
          <cell r="G26" t="str">
            <v>niranjan_sts</v>
          </cell>
          <cell r="H26" t="str">
            <v>Active</v>
          </cell>
          <cell r="I26" t="str">
            <v>satish_st</v>
          </cell>
          <cell r="J26" t="str">
            <v>Mobility</v>
          </cell>
          <cell r="K26" t="str">
            <v>Bangalore</v>
          </cell>
          <cell r="L26" t="str">
            <v>Acquisition team</v>
          </cell>
        </row>
        <row r="27">
          <cell r="A27" t="str">
            <v>Pankaj Chaudhary</v>
          </cell>
          <cell r="B27" t="str">
            <v xml:space="preserve">Delhi - Mobility - Site Development &amp; Maintenance
</v>
          </cell>
          <cell r="C27" t="str">
            <v>Pankaj Chaudhary</v>
          </cell>
          <cell r="D27" t="str">
            <v>pankaj@shaurryatele.com</v>
          </cell>
          <cell r="E27" t="str">
            <v>6397156643</v>
          </cell>
          <cell r="F27" t="str">
            <v>Pankaj Choudhary</v>
          </cell>
          <cell r="G27" t="str">
            <v>pankaj_st</v>
          </cell>
          <cell r="H27" t="str">
            <v>Active</v>
          </cell>
          <cell r="I27" t="str">
            <v>saurabh_st</v>
          </cell>
          <cell r="J27" t="str">
            <v>Mobility</v>
          </cell>
          <cell r="K27" t="str">
            <v>Delhi</v>
          </cell>
          <cell r="L27" t="str">
            <v>O&amp;M</v>
          </cell>
        </row>
        <row r="28">
          <cell r="A28" t="str">
            <v>Piyush Khobragade</v>
          </cell>
          <cell r="B28" t="str">
            <v xml:space="preserve">MPGC - Mobility - Manager National Sales Head / Circle Head </v>
          </cell>
          <cell r="C28" t="str">
            <v>Piyush Khobragade</v>
          </cell>
          <cell r="D28" t="str">
            <v>piyush.khobragade@shaurryatele.com</v>
          </cell>
          <cell r="E28" t="str">
            <v>9773459073</v>
          </cell>
          <cell r="F28" t="str">
            <v>Sanjeev Goel</v>
          </cell>
          <cell r="G28" t="str">
            <v>piyush_st</v>
          </cell>
          <cell r="H28" t="str">
            <v>Active</v>
          </cell>
          <cell r="I28" t="str">
            <v>sanjeevg_st</v>
          </cell>
          <cell r="J28" t="str">
            <v>Mobility</v>
          </cell>
          <cell r="K28" t="str">
            <v>Indore</v>
          </cell>
          <cell r="L28" t="str">
            <v>Business</v>
          </cell>
        </row>
        <row r="29">
          <cell r="A29" t="str">
            <v>Prabhakar Gopalrao Gaikwad</v>
          </cell>
          <cell r="B29" t="str">
            <v xml:space="preserve">MH - Mobility - Acquisition
</v>
          </cell>
          <cell r="C29" t="str">
            <v>Prabhakar Gopalrao Gaikwad</v>
          </cell>
          <cell r="D29" t="str">
            <v>prabhakar.gaikwad@shaurryatele.com</v>
          </cell>
          <cell r="E29" t="str">
            <v>8421907247</v>
          </cell>
          <cell r="F29" t="str">
            <v>Dattatray Ganpat Ranmakar</v>
          </cell>
          <cell r="G29" t="str">
            <v>prabhakar_st</v>
          </cell>
          <cell r="H29" t="str">
            <v>Active</v>
          </cell>
          <cell r="I29" t="str">
            <v>dattatray_st</v>
          </cell>
          <cell r="J29" t="str">
            <v>Mobility</v>
          </cell>
          <cell r="K29" t="str">
            <v>Pune</v>
          </cell>
          <cell r="L29" t="str">
            <v>Acquisition team</v>
          </cell>
        </row>
        <row r="30">
          <cell r="A30" t="str">
            <v>Pradeep Rajoria</v>
          </cell>
          <cell r="B30" t="str">
            <v xml:space="preserve">Mumbai - Mobility - Acquisition
</v>
          </cell>
          <cell r="C30" t="str">
            <v>Pradeep  Brahampal Rajoria</v>
          </cell>
          <cell r="D30" t="str">
            <v>pradeep_st_1727956593622@skedulomatic.com</v>
          </cell>
          <cell r="E30" t="str">
            <v>9920219221</v>
          </cell>
          <cell r="F30" t="str">
            <v>Sunil P Bhagwat</v>
          </cell>
          <cell r="G30" t="str">
            <v>pradeep_st</v>
          </cell>
          <cell r="H30" t="str">
            <v>Active</v>
          </cell>
          <cell r="I30" t="str">
            <v>sunilb_st</v>
          </cell>
          <cell r="J30" t="str">
            <v>Mobility</v>
          </cell>
          <cell r="K30" t="str">
            <v>Mumbai</v>
          </cell>
          <cell r="L30" t="str">
            <v>Acquisition team</v>
          </cell>
        </row>
        <row r="31">
          <cell r="A31" t="str">
            <v xml:space="preserve">Raghvendra </v>
          </cell>
          <cell r="B31" t="str">
            <v xml:space="preserve">Delhi - Mobility - Acquisition
</v>
          </cell>
          <cell r="C31" t="str">
            <v>Raghvendra Kumar</v>
          </cell>
          <cell r="D31" t="str">
            <v>raghvendra@shaurryatele.com</v>
          </cell>
          <cell r="E31" t="str">
            <v>9643084384</v>
          </cell>
          <cell r="F31" t="str">
            <v>Saurabh Gupta</v>
          </cell>
          <cell r="G31" t="str">
            <v>raghvendra_st</v>
          </cell>
          <cell r="H31" t="str">
            <v>Active</v>
          </cell>
          <cell r="I31" t="str">
            <v>saurabh_st</v>
          </cell>
          <cell r="J31" t="str">
            <v>Mobility</v>
          </cell>
          <cell r="K31" t="str">
            <v>Delhi</v>
          </cell>
          <cell r="L31" t="str">
            <v>Acquisition team</v>
          </cell>
        </row>
        <row r="32">
          <cell r="A32" t="str">
            <v>Rajesh Shukla</v>
          </cell>
          <cell r="B32" t="str">
            <v xml:space="preserve">UPW - Mobility - Circle Head
</v>
          </cell>
          <cell r="C32" t="str">
            <v>Rajesh Shukla</v>
          </cell>
          <cell r="D32" t="str">
            <v>rajesh.shukla@shaurryatele.com</v>
          </cell>
          <cell r="E32" t="str">
            <v>8826162006</v>
          </cell>
          <cell r="F32" t="str">
            <v>Rajesh Shukla</v>
          </cell>
          <cell r="G32" t="str">
            <v>rajesh_sts</v>
          </cell>
          <cell r="H32" t="str">
            <v>Active</v>
          </cell>
          <cell r="I32" t="str">
            <v>sanjeevg_st</v>
          </cell>
          <cell r="J32" t="str">
            <v>Mobility</v>
          </cell>
          <cell r="K32" t="str">
            <v>Delhi</v>
          </cell>
          <cell r="L32" t="str">
            <v>Business</v>
          </cell>
        </row>
        <row r="33">
          <cell r="A33" t="str">
            <v>Rajnish Nimbark</v>
          </cell>
          <cell r="B33" t="str">
            <v>GUJ - Mobility - Circle Head</v>
          </cell>
          <cell r="C33" t="str">
            <v>Rajnish Nimbark</v>
          </cell>
          <cell r="D33" t="str">
            <v>rajnish_st_1739513541727@skedulomatic.com</v>
          </cell>
          <cell r="E33" t="str">
            <v>7226080870</v>
          </cell>
          <cell r="F33" t="str">
            <v>Rajnish Nimbark</v>
          </cell>
          <cell r="G33" t="str">
            <v>rajnish_st</v>
          </cell>
          <cell r="H33" t="str">
            <v>Active</v>
          </cell>
          <cell r="I33" t="str">
            <v>sanjeevg_st</v>
          </cell>
          <cell r="J33" t="str">
            <v>Mobility</v>
          </cell>
          <cell r="K33" t="str">
            <v>Ahmedabad</v>
          </cell>
          <cell r="L33" t="str">
            <v>Business</v>
          </cell>
        </row>
        <row r="34">
          <cell r="A34" t="str">
            <v>RATAN BAHADHUR SINGH</v>
          </cell>
          <cell r="B34" t="str">
            <v xml:space="preserve">Mumbai - Mobility - O&amp;M
</v>
          </cell>
          <cell r="C34" t="str">
            <v>RATAN BAHADHUR SINGH</v>
          </cell>
          <cell r="D34" t="str">
            <v>ratan_st_1745327045077@skedulomatic.com</v>
          </cell>
          <cell r="E34" t="str">
            <v>7208501421</v>
          </cell>
          <cell r="F34" t="str">
            <v>Sunil P Bhagwat</v>
          </cell>
          <cell r="G34" t="str">
            <v>ratan_st</v>
          </cell>
          <cell r="H34" t="str">
            <v>Active</v>
          </cell>
          <cell r="I34" t="str">
            <v>sunilb_st</v>
          </cell>
          <cell r="J34" t="str">
            <v>Mobility</v>
          </cell>
          <cell r="K34" t="str">
            <v>Mumbai</v>
          </cell>
          <cell r="L34" t="str">
            <v>O&amp;M</v>
          </cell>
        </row>
        <row r="35">
          <cell r="A35" t="str">
            <v>RUPESH YASHWANT RANE</v>
          </cell>
          <cell r="B35" t="str">
            <v>Mumbai - Mobility - Project</v>
          </cell>
          <cell r="C35" t="str">
            <v>RUPESH YASHWANT RANE</v>
          </cell>
          <cell r="D35" t="str">
            <v>rupeshrane1582@gmail.com</v>
          </cell>
          <cell r="E35" t="str">
            <v>80976 18466</v>
          </cell>
          <cell r="F35" t="str">
            <v>Sunil P Bhagwat</v>
          </cell>
          <cell r="G35" t="str">
            <v>rupesh_st</v>
          </cell>
          <cell r="H35" t="str">
            <v>Active</v>
          </cell>
          <cell r="I35" t="str">
            <v>sunilb_st</v>
          </cell>
          <cell r="J35" t="str">
            <v>Mobility</v>
          </cell>
          <cell r="K35" t="str">
            <v>Mumbai</v>
          </cell>
          <cell r="L35" t="str">
            <v>O&amp;M</v>
          </cell>
        </row>
        <row r="36">
          <cell r="A36" t="str">
            <v>Sachin Mahade</v>
          </cell>
          <cell r="B36" t="str">
            <v xml:space="preserve">Mumbai - Mobility - O&amp;M
</v>
          </cell>
          <cell r="C36" t="str">
            <v>Sachin Mahade</v>
          </cell>
          <cell r="D36" t="str">
            <v>sachin@shaurryatele.com</v>
          </cell>
          <cell r="E36" t="str">
            <v>8898214454</v>
          </cell>
          <cell r="F36" t="str">
            <v>Sunil P Bhagwat</v>
          </cell>
          <cell r="G36" t="str">
            <v>sachin_st</v>
          </cell>
          <cell r="H36" t="str">
            <v>Active</v>
          </cell>
          <cell r="I36" t="str">
            <v>sunilb_st</v>
          </cell>
          <cell r="J36" t="str">
            <v>Mobility</v>
          </cell>
          <cell r="K36" t="str">
            <v>Mumbai</v>
          </cell>
          <cell r="L36" t="str">
            <v>O&amp;M</v>
          </cell>
        </row>
        <row r="37">
          <cell r="A37" t="str">
            <v>Sachin Verma</v>
          </cell>
          <cell r="B37" t="str">
            <v xml:space="preserve">Delhi - IBS - HOD
</v>
          </cell>
          <cell r="C37" t="str">
            <v>Sachin Verma</v>
          </cell>
          <cell r="D37" t="str">
            <v>sachin.verma@shaurryatele.com</v>
          </cell>
          <cell r="E37" t="str">
            <v>9650691288</v>
          </cell>
          <cell r="F37" t="str">
            <v>Sachin Verma</v>
          </cell>
          <cell r="G37" t="str">
            <v>sachin_sts</v>
          </cell>
          <cell r="H37" t="str">
            <v>Active</v>
          </cell>
          <cell r="I37" t="str">
            <v>admin_shaurrya</v>
          </cell>
          <cell r="J37" t="str">
            <v>IBS</v>
          </cell>
          <cell r="K37" t="str">
            <v>Gurugram</v>
          </cell>
          <cell r="L37" t="str">
            <v>Business</v>
          </cell>
        </row>
        <row r="38">
          <cell r="A38" t="str">
            <v>Sagar Gurav</v>
          </cell>
          <cell r="B38" t="str">
            <v>Mumbai Mobility--Acquisition</v>
          </cell>
          <cell r="C38" t="str">
            <v>Sagar Deepak Gurav</v>
          </cell>
          <cell r="D38" t="str">
            <v>sagardg3@gmail.com</v>
          </cell>
          <cell r="E38" t="str">
            <v>99202 31338</v>
          </cell>
          <cell r="F38" t="str">
            <v>Sunil P Bhagwat</v>
          </cell>
          <cell r="G38" t="str">
            <v>sagar_st</v>
          </cell>
          <cell r="H38" t="str">
            <v>Active</v>
          </cell>
          <cell r="I38" t="str">
            <v>sunilb_st</v>
          </cell>
          <cell r="J38" t="str">
            <v>Mobility</v>
          </cell>
          <cell r="K38" t="str">
            <v>Mumbai</v>
          </cell>
          <cell r="L38" t="str">
            <v>Acquisition team</v>
          </cell>
        </row>
        <row r="39">
          <cell r="A39" t="str">
            <v>Sagar Kanubhai Sarvaiya</v>
          </cell>
          <cell r="B39" t="str">
            <v xml:space="preserve">GUJ - Mobility - Acquisition
</v>
          </cell>
          <cell r="C39" t="str">
            <v>Sagar Kanubhai</v>
          </cell>
          <cell r="D39" t="str">
            <v>sagar.k.sarvaiya123@gmail.com</v>
          </cell>
          <cell r="E39" t="str">
            <v>8000012005</v>
          </cell>
          <cell r="F39" t="str">
            <v>Rajnish Nimbark</v>
          </cell>
          <cell r="G39" t="str">
            <v>sagark_st</v>
          </cell>
          <cell r="H39" t="str">
            <v>Active</v>
          </cell>
          <cell r="I39" t="str">
            <v>rajnish_st</v>
          </cell>
          <cell r="J39" t="str">
            <v>Mobility</v>
          </cell>
          <cell r="K39" t="str">
            <v>Surat</v>
          </cell>
          <cell r="L39" t="str">
            <v>Acquisition team</v>
          </cell>
        </row>
        <row r="40">
          <cell r="A40" t="str">
            <v>Sandeep Rana</v>
          </cell>
          <cell r="B40" t="str">
            <v xml:space="preserve">UPE - Mobility - Circle Head
</v>
          </cell>
          <cell r="C40" t="str">
            <v>Sandeep Rana</v>
          </cell>
          <cell r="D40" t="str">
            <v>sandeep@shaurryatele.com</v>
          </cell>
          <cell r="E40" t="str">
            <v>8767249333</v>
          </cell>
          <cell r="F40" t="str">
            <v>Sandeep Rana</v>
          </cell>
          <cell r="G40" t="str">
            <v>sandeep_st</v>
          </cell>
          <cell r="H40" t="str">
            <v>Active</v>
          </cell>
          <cell r="I40" t="str">
            <v>sanjeevg_st</v>
          </cell>
          <cell r="J40" t="str">
            <v>Mobility</v>
          </cell>
          <cell r="K40" t="str">
            <v>Lucknow</v>
          </cell>
          <cell r="L40" t="str">
            <v>Business</v>
          </cell>
        </row>
        <row r="41">
          <cell r="A41" t="str">
            <v>Sanjeev S Panwar</v>
          </cell>
          <cell r="B41" t="str">
            <v xml:space="preserve">Delhi - Enterprise - Site Development &amp; maintenance FTTH
</v>
          </cell>
          <cell r="C41" t="str">
            <v>Sanjeev S Panwar</v>
          </cell>
          <cell r="D41" t="str">
            <v>sanjeev_st_1727956264840@skedulomatic.com</v>
          </cell>
          <cell r="E41" t="str">
            <v>9810677609</v>
          </cell>
          <cell r="F41" t="str">
            <v>Pankaj Gaurav</v>
          </cell>
          <cell r="G41" t="str">
            <v>sanjeev_st</v>
          </cell>
          <cell r="H41" t="str">
            <v>Active</v>
          </cell>
          <cell r="I41" t="str">
            <v>pankajg_st</v>
          </cell>
          <cell r="J41" t="str">
            <v>Enterprise</v>
          </cell>
          <cell r="K41" t="str">
            <v>Delhi</v>
          </cell>
          <cell r="L41" t="str">
            <v>O&amp;M</v>
          </cell>
        </row>
        <row r="42">
          <cell r="A42" t="str">
            <v>Satish Megaraj</v>
          </cell>
          <cell r="B42" t="str">
            <v xml:space="preserve">KTK - Mobility - Circle Head
</v>
          </cell>
          <cell r="C42" t="str">
            <v>Satish Megaraj</v>
          </cell>
          <cell r="D42" t="str">
            <v>satish_st_1758197722815@skedulomatic.com</v>
          </cell>
          <cell r="E42" t="str">
            <v>9538886655</v>
          </cell>
          <cell r="F42" t="str">
            <v>Satish Megaraj</v>
          </cell>
          <cell r="G42" t="str">
            <v>satish_st</v>
          </cell>
          <cell r="H42" t="str">
            <v>Active</v>
          </cell>
          <cell r="I42" t="str">
            <v>sanjeevg_st</v>
          </cell>
          <cell r="J42" t="str">
            <v>Mobility</v>
          </cell>
          <cell r="K42" t="str">
            <v>Bangalore</v>
          </cell>
          <cell r="L42" t="str">
            <v>Business</v>
          </cell>
        </row>
        <row r="43">
          <cell r="A43" t="str">
            <v>Satwinder Pal Jagotra</v>
          </cell>
          <cell r="B43" t="str">
            <v xml:space="preserve">Delhi - IBS - Business Coordinator
</v>
          </cell>
          <cell r="C43" t="str">
            <v>Satwinder Pal Jagotra</v>
          </cell>
          <cell r="D43" t="str">
            <v>satwinder.jagotra@shaurryatele.com</v>
          </cell>
          <cell r="E43" t="str">
            <v>9873395301</v>
          </cell>
          <cell r="F43" t="str">
            <v>Sachin Verma</v>
          </cell>
          <cell r="G43" t="str">
            <v>satwinder_sts</v>
          </cell>
          <cell r="H43" t="str">
            <v>Active</v>
          </cell>
          <cell r="I43" t="str">
            <v>sachin_sts</v>
          </cell>
          <cell r="J43" t="str">
            <v>IBS</v>
          </cell>
          <cell r="K43" t="str">
            <v>Delhi</v>
          </cell>
          <cell r="L43" t="str">
            <v>Business</v>
          </cell>
        </row>
        <row r="44">
          <cell r="A44" t="str">
            <v>Saurabh Gupta</v>
          </cell>
          <cell r="B44" t="str">
            <v xml:space="preserve">Delhi - Mobility - Circle Head
</v>
          </cell>
          <cell r="C44" t="str">
            <v>Saurabh Gupta</v>
          </cell>
          <cell r="D44" t="str">
            <v>saurabhgupta@shaurryatele.com</v>
          </cell>
          <cell r="E44" t="str">
            <v>99900 09220</v>
          </cell>
          <cell r="F44" t="str">
            <v>Saurabh Gupta</v>
          </cell>
          <cell r="G44" t="str">
            <v>saurabh_st</v>
          </cell>
          <cell r="H44" t="str">
            <v>Active</v>
          </cell>
          <cell r="I44" t="str">
            <v>sanjeevg_st</v>
          </cell>
          <cell r="J44" t="str">
            <v>Mobility</v>
          </cell>
          <cell r="K44" t="str">
            <v>Delhi</v>
          </cell>
          <cell r="L44" t="str">
            <v>Business</v>
          </cell>
        </row>
        <row r="45">
          <cell r="A45" t="str">
            <v>Shabbir Khan</v>
          </cell>
          <cell r="B45" t="str">
            <v>Channel Partner Manager</v>
          </cell>
          <cell r="C45" t="str">
            <v>Shabbir Khan</v>
          </cell>
          <cell r="D45" t="str">
            <v>shabbir.khan@shaurryatele.com</v>
          </cell>
          <cell r="E45" t="str">
            <v>+91-9967794002</v>
          </cell>
          <cell r="F45" t="str">
            <v>Deepak Nadar</v>
          </cell>
          <cell r="G45" t="str">
            <v>shabbir_st</v>
          </cell>
          <cell r="H45" t="str">
            <v>Active</v>
          </cell>
          <cell r="I45" t="str">
            <v>deepak_sts</v>
          </cell>
          <cell r="J45" t="str">
            <v>Enterprise</v>
          </cell>
          <cell r="K45" t="str">
            <v>Navi Mumbai</v>
          </cell>
          <cell r="L45" t="str">
            <v>Business</v>
          </cell>
        </row>
        <row r="46">
          <cell r="A46" t="str">
            <v>Shivanshu Dubey</v>
          </cell>
          <cell r="B46" t="str">
            <v xml:space="preserve">Delhi - Mobility - O&amp;M
</v>
          </cell>
          <cell r="C46" t="str">
            <v>Shivanshu Dubey</v>
          </cell>
          <cell r="D46" t="str">
            <v>shivanshudubey640@gmail.com</v>
          </cell>
          <cell r="E46" t="str">
            <v>6392031410</v>
          </cell>
          <cell r="F46" t="str">
            <v>Pankaj Choudhary</v>
          </cell>
          <cell r="G46" t="str">
            <v>shivanshu_st</v>
          </cell>
          <cell r="H46" t="str">
            <v>Active</v>
          </cell>
          <cell r="I46" t="str">
            <v>pankaj_st</v>
          </cell>
          <cell r="J46" t="str">
            <v>Mobility</v>
          </cell>
          <cell r="K46" t="str">
            <v>Gurgaon</v>
          </cell>
          <cell r="L46" t="str">
            <v>O&amp;M</v>
          </cell>
        </row>
        <row r="47">
          <cell r="A47" t="str">
            <v>Sibayan Ghosh</v>
          </cell>
          <cell r="B47" t="str">
            <v xml:space="preserve">WB - Enterprise - Channel Partner Manager
</v>
          </cell>
          <cell r="C47" t="str">
            <v>Sibayan Ghosh</v>
          </cell>
          <cell r="D47" t="str">
            <v>sibayan.ghosh@shaurryatele.com</v>
          </cell>
          <cell r="E47" t="str">
            <v>9831049524</v>
          </cell>
          <cell r="F47" t="str">
            <v>Abhiman Ganguly</v>
          </cell>
          <cell r="G47" t="str">
            <v>sibayan_st</v>
          </cell>
          <cell r="H47" t="str">
            <v>Active</v>
          </cell>
          <cell r="I47" t="str">
            <v>abhiman_st</v>
          </cell>
          <cell r="J47" t="str">
            <v>Enterprise</v>
          </cell>
          <cell r="K47" t="str">
            <v>Kolkata</v>
          </cell>
          <cell r="L47" t="str">
            <v>O&amp;M</v>
          </cell>
        </row>
        <row r="48">
          <cell r="A48" t="str">
            <v>Sudarshan Ramrao Tigote</v>
          </cell>
          <cell r="B48" t="str">
            <v xml:space="preserve">Mumbai - Enterprise - Network Operation Engineer -DBS
</v>
          </cell>
          <cell r="C48" t="str">
            <v>Sudarshan Ramrao Tigote</v>
          </cell>
          <cell r="D48" t="str">
            <v>sudarshan.tigote@shaurryatele.com</v>
          </cell>
          <cell r="E48" t="str">
            <v>9405606073</v>
          </cell>
          <cell r="F48" t="str">
            <v>Deepak Nadar</v>
          </cell>
          <cell r="G48" t="str">
            <v>sudarshan_st</v>
          </cell>
          <cell r="H48" t="str">
            <v>Active</v>
          </cell>
          <cell r="I48" t="str">
            <v>deepak_sts</v>
          </cell>
          <cell r="J48" t="str">
            <v xml:space="preserve">Enterprise </v>
          </cell>
          <cell r="K48" t="str">
            <v>Mumbai</v>
          </cell>
          <cell r="L48" t="str">
            <v>Project</v>
          </cell>
        </row>
        <row r="49">
          <cell r="A49" t="str">
            <v>Sunil P Bhagwat</v>
          </cell>
          <cell r="B49" t="str">
            <v xml:space="preserve">Mumbai - Mobility - Circle Head
</v>
          </cell>
          <cell r="C49" t="str">
            <v>Sunil P Bhagwat</v>
          </cell>
          <cell r="D49" t="str">
            <v>sunilb_st_1745327334626@skedulomatic.com</v>
          </cell>
          <cell r="E49" t="str">
            <v>8108779091</v>
          </cell>
          <cell r="F49" t="str">
            <v>Sunil P Bhagwat</v>
          </cell>
          <cell r="G49" t="str">
            <v>sunilb_st</v>
          </cell>
          <cell r="H49" t="str">
            <v>Active</v>
          </cell>
          <cell r="I49" t="str">
            <v>sanjeevg_st</v>
          </cell>
          <cell r="J49" t="str">
            <v>Mobility</v>
          </cell>
          <cell r="K49" t="str">
            <v>Mumbai</v>
          </cell>
          <cell r="L49" t="str">
            <v>Business</v>
          </cell>
        </row>
        <row r="50">
          <cell r="A50" t="str">
            <v>Sunpreet Singh</v>
          </cell>
          <cell r="B50" t="str">
            <v xml:space="preserve">Mumbai - Mobility - Acquisition
</v>
          </cell>
          <cell r="C50" t="str">
            <v>Sunpreet Singh</v>
          </cell>
          <cell r="D50" t="str">
            <v>sunpreet_st_1758197888394@skedulomatic.com</v>
          </cell>
          <cell r="E50" t="str">
            <v>8168449570</v>
          </cell>
          <cell r="F50" t="str">
            <v>Saurabh Gupta</v>
          </cell>
          <cell r="G50" t="str">
            <v>sunpreet_st</v>
          </cell>
          <cell r="H50" t="str">
            <v>Active</v>
          </cell>
          <cell r="I50" t="str">
            <v>saurabh_st</v>
          </cell>
          <cell r="J50" t="str">
            <v>Mobility</v>
          </cell>
          <cell r="K50" t="str">
            <v>Mohali</v>
          </cell>
          <cell r="L50" t="str">
            <v>Acquisition team</v>
          </cell>
        </row>
        <row r="51">
          <cell r="A51" t="str">
            <v>Suresh Gowda</v>
          </cell>
          <cell r="B51" t="str">
            <v xml:space="preserve">KTK - Mobility - Project
</v>
          </cell>
          <cell r="C51" t="str">
            <v>Suresh Gowda</v>
          </cell>
          <cell r="D51" t="str">
            <v>suresh_st_1735204178256@skedulomatic.com</v>
          </cell>
          <cell r="E51" t="str">
            <v>9845460610</v>
          </cell>
          <cell r="F51" t="str">
            <v>Suresh Gowda</v>
          </cell>
          <cell r="G51" t="str">
            <v>suresh_st</v>
          </cell>
          <cell r="H51" t="str">
            <v>Active</v>
          </cell>
          <cell r="I51" t="str">
            <v>sanjeevg_st</v>
          </cell>
          <cell r="J51" t="str">
            <v>Mobility</v>
          </cell>
          <cell r="K51" t="str">
            <v>Bengaluru</v>
          </cell>
          <cell r="L51" t="str">
            <v>Project</v>
          </cell>
        </row>
        <row r="52">
          <cell r="A52" t="str">
            <v>Sushank Rajendra Mohakar</v>
          </cell>
          <cell r="B52" t="str">
            <v xml:space="preserve">Mumbai - Mobility - Acquisition
</v>
          </cell>
          <cell r="C52" t="str">
            <v>Sushank Rajendra Mohakar</v>
          </cell>
          <cell r="D52" t="str">
            <v>sushm01990@gmail.com</v>
          </cell>
          <cell r="E52" t="str">
            <v>9999999999</v>
          </cell>
          <cell r="F52" t="str">
            <v>Sunil P Bhagwat</v>
          </cell>
          <cell r="G52" t="str">
            <v>sushank_sts</v>
          </cell>
          <cell r="H52" t="str">
            <v>Active</v>
          </cell>
          <cell r="I52" t="str">
            <v>sunilb_st</v>
          </cell>
          <cell r="J52" t="str">
            <v>Mobility</v>
          </cell>
          <cell r="K52" t="str">
            <v>Mumbai</v>
          </cell>
          <cell r="L52" t="str">
            <v>Acquisition team</v>
          </cell>
        </row>
        <row r="53">
          <cell r="A53" t="str">
            <v>Suyog</v>
          </cell>
          <cell r="B53" t="str">
            <v>Mumbai Mobility--O&amp;M</v>
          </cell>
          <cell r="C53" t="str">
            <v>Suyog Laxman Kajare</v>
          </cell>
          <cell r="D53" t="str">
            <v>suyog@shaurryatele.com</v>
          </cell>
          <cell r="E53" t="str">
            <v>9833144457</v>
          </cell>
          <cell r="F53" t="str">
            <v>Sunil P Bhagwat</v>
          </cell>
          <cell r="G53" t="str">
            <v>suyog_st</v>
          </cell>
          <cell r="H53" t="str">
            <v>Active</v>
          </cell>
          <cell r="I53" t="str">
            <v>sunilb_st</v>
          </cell>
          <cell r="J53" t="str">
            <v>Mobility</v>
          </cell>
          <cell r="K53" t="str">
            <v>Mumbai</v>
          </cell>
          <cell r="L53" t="str">
            <v>O&amp;M</v>
          </cell>
        </row>
        <row r="54">
          <cell r="A54" t="str">
            <v>Vineet Rajpoot</v>
          </cell>
          <cell r="B54" t="str">
            <v xml:space="preserve">Delhi - Mobility - Acquisition
</v>
          </cell>
          <cell r="C54" t="str">
            <v>Vineet Rajpoot</v>
          </cell>
          <cell r="D54" t="str">
            <v>vineet_st_1745327524275@skedulomatic.com</v>
          </cell>
          <cell r="E54" t="str">
            <v>9717185678</v>
          </cell>
          <cell r="F54" t="str">
            <v>Saurabh Gupta</v>
          </cell>
          <cell r="G54" t="str">
            <v>vineet_st</v>
          </cell>
          <cell r="H54" t="str">
            <v>Active</v>
          </cell>
          <cell r="I54" t="str">
            <v>saurabh_st</v>
          </cell>
          <cell r="J54" t="str">
            <v>Mobility</v>
          </cell>
          <cell r="K54" t="str">
            <v>Delhi</v>
          </cell>
          <cell r="L54" t="str">
            <v>Acquisition team</v>
          </cell>
        </row>
        <row r="55">
          <cell r="A55" t="str">
            <v>Yogesh Naykodi</v>
          </cell>
          <cell r="B55" t="str">
            <v xml:space="preserve">MH - Mobility - Acquisition
</v>
          </cell>
          <cell r="C55" t="str">
            <v>Yogesh Naykodi</v>
          </cell>
          <cell r="D55" t="str">
            <v>yb.naykodi@gmail.com</v>
          </cell>
          <cell r="E55" t="str">
            <v>9975894886</v>
          </cell>
          <cell r="F55" t="str">
            <v>Dattatray Ganpat Ranmakar</v>
          </cell>
          <cell r="G55" t="str">
            <v>yogesh_naykodi_st</v>
          </cell>
          <cell r="H55" t="str">
            <v>Active</v>
          </cell>
          <cell r="I55" t="str">
            <v>dattatray_st</v>
          </cell>
          <cell r="J55" t="str">
            <v>Mobility</v>
          </cell>
          <cell r="K55" t="str">
            <v>Pune</v>
          </cell>
          <cell r="L55" t="str">
            <v>Acquisition team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Full Name</v>
          </cell>
          <cell r="C1" t="str">
            <v>Username</v>
          </cell>
          <cell r="D1" t="str">
            <v>Apr 6, 2026</v>
          </cell>
        </row>
        <row r="2">
          <cell r="B2" t="str">
            <v>Karishma Shinde</v>
          </cell>
          <cell r="C2" t="str">
            <v>karishma_st</v>
          </cell>
          <cell r="D2" t="str">
            <v>A</v>
          </cell>
        </row>
        <row r="3">
          <cell r="B3" t="str">
            <v>Shalaka Sakharam Ambatkar</v>
          </cell>
          <cell r="C3" t="str">
            <v>shalaka_sts</v>
          </cell>
          <cell r="D3" t="str">
            <v>A</v>
          </cell>
        </row>
        <row r="4">
          <cell r="B4" t="str">
            <v>Satwinder Pal Jagotra</v>
          </cell>
          <cell r="C4" t="str">
            <v>satwinder_sts</v>
          </cell>
          <cell r="D4" t="str">
            <v>A</v>
          </cell>
        </row>
        <row r="5">
          <cell r="B5" t="str">
            <v>Sudarshan Ramrao Tigote</v>
          </cell>
          <cell r="C5" t="str">
            <v>sudarshan_st</v>
          </cell>
          <cell r="D5" t="str">
            <v>A</v>
          </cell>
        </row>
        <row r="6">
          <cell r="B6" t="str">
            <v>Manas Nanda</v>
          </cell>
          <cell r="C6" t="str">
            <v>manas_shaurrya</v>
          </cell>
          <cell r="D6" t="str">
            <v>P</v>
          </cell>
        </row>
        <row r="7">
          <cell r="B7" t="str">
            <v>Hariharan B</v>
          </cell>
          <cell r="C7" t="str">
            <v>hariharan_st</v>
          </cell>
          <cell r="D7" t="str">
            <v>A</v>
          </cell>
        </row>
        <row r="8">
          <cell r="B8" t="str">
            <v>Abhijeet Tukaram Gawthe</v>
          </cell>
          <cell r="C8" t="str">
            <v>abhijeet_sts</v>
          </cell>
          <cell r="D8" t="str">
            <v>A</v>
          </cell>
        </row>
        <row r="9">
          <cell r="B9" t="str">
            <v>Demo_shaurrya</v>
          </cell>
          <cell r="C9" t="str">
            <v>demo_shaurrya</v>
          </cell>
          <cell r="D9" t="str">
            <v>A</v>
          </cell>
        </row>
        <row r="10">
          <cell r="B10" t="str">
            <v>Ankush Shelotkar</v>
          </cell>
          <cell r="C10" t="str">
            <v>ankush_sts</v>
          </cell>
          <cell r="D10" t="str">
            <v>P</v>
          </cell>
        </row>
        <row r="11">
          <cell r="B11" t="str">
            <v>Sandeep Kumar Singh</v>
          </cell>
          <cell r="C11" t="str">
            <v>sanddepsingh_sts</v>
          </cell>
          <cell r="D11" t="str">
            <v>P</v>
          </cell>
        </row>
        <row r="12">
          <cell r="B12" t="str">
            <v>Sachin Verma</v>
          </cell>
          <cell r="C12" t="str">
            <v>sachin_sts</v>
          </cell>
          <cell r="D12" t="str">
            <v>A</v>
          </cell>
        </row>
        <row r="13">
          <cell r="B13" t="str">
            <v>Piyush Khobragade</v>
          </cell>
          <cell r="C13" t="str">
            <v>piyush_st</v>
          </cell>
          <cell r="D13" t="str">
            <v>P</v>
          </cell>
        </row>
        <row r="14">
          <cell r="B14" t="str">
            <v>Kalyan Kashinath Pathare</v>
          </cell>
          <cell r="C14" t="str">
            <v>kalyan_st</v>
          </cell>
          <cell r="D14" t="str">
            <v>A</v>
          </cell>
        </row>
        <row r="15">
          <cell r="B15" t="str">
            <v>Sandeep Rana</v>
          </cell>
          <cell r="C15" t="str">
            <v>sandeep_st</v>
          </cell>
          <cell r="D15" t="str">
            <v>A</v>
          </cell>
        </row>
        <row r="16">
          <cell r="B16" t="str">
            <v>Deepanshu Pandey</v>
          </cell>
          <cell r="C16" t="str">
            <v>dipanshu_st</v>
          </cell>
          <cell r="D16" t="str">
            <v>P</v>
          </cell>
        </row>
        <row r="17">
          <cell r="B17" t="str">
            <v>Amaan Aijaz</v>
          </cell>
          <cell r="C17" t="str">
            <v>amaan_st</v>
          </cell>
          <cell r="D17" t="str">
            <v>P</v>
          </cell>
        </row>
        <row r="18">
          <cell r="B18" t="str">
            <v>Sunpreet Singh</v>
          </cell>
          <cell r="C18" t="str">
            <v>sunpreet_st</v>
          </cell>
          <cell r="D18" t="str">
            <v>A</v>
          </cell>
        </row>
        <row r="19">
          <cell r="B19" t="str">
            <v>Pankaj Gaurav</v>
          </cell>
          <cell r="C19" t="str">
            <v>pankajg_st</v>
          </cell>
          <cell r="D19" t="str">
            <v>A</v>
          </cell>
        </row>
        <row r="20">
          <cell r="B20" t="str">
            <v>Deepak Nadar</v>
          </cell>
          <cell r="C20" t="str">
            <v>deepak_sts</v>
          </cell>
          <cell r="D20" t="str">
            <v>A</v>
          </cell>
        </row>
        <row r="21">
          <cell r="B21" t="str">
            <v>Afsar Ali</v>
          </cell>
          <cell r="C21" t="str">
            <v>afsar_st</v>
          </cell>
          <cell r="D21" t="str">
            <v>P</v>
          </cell>
        </row>
        <row r="22">
          <cell r="B22" t="str">
            <v>Sibayan Ghosh</v>
          </cell>
          <cell r="C22" t="str">
            <v>sibayan_st</v>
          </cell>
          <cell r="D22" t="str">
            <v>P</v>
          </cell>
        </row>
        <row r="23">
          <cell r="B23" t="str">
            <v>Niranjan M</v>
          </cell>
          <cell r="C23" t="str">
            <v>niranjan_sts</v>
          </cell>
          <cell r="D23" t="str">
            <v>P</v>
          </cell>
        </row>
        <row r="24">
          <cell r="B24" t="str">
            <v>Sushank Rajendra Mohakar</v>
          </cell>
          <cell r="C24" t="str">
            <v>sushank_sts</v>
          </cell>
          <cell r="D24" t="str">
            <v>A</v>
          </cell>
        </row>
        <row r="25">
          <cell r="B25" t="str">
            <v>Satish Megaraj</v>
          </cell>
          <cell r="C25" t="str">
            <v>satish_st</v>
          </cell>
          <cell r="D25" t="str">
            <v>P</v>
          </cell>
        </row>
        <row r="26">
          <cell r="B26" t="str">
            <v>Sagar Kanubhai</v>
          </cell>
          <cell r="C26" t="str">
            <v>sagark_st</v>
          </cell>
          <cell r="D26" t="str">
            <v>P</v>
          </cell>
        </row>
        <row r="27">
          <cell r="B27" t="str">
            <v>Rajesh Shukla</v>
          </cell>
          <cell r="C27" t="str">
            <v>rajesh_sts</v>
          </cell>
          <cell r="D27" t="str">
            <v>P</v>
          </cell>
        </row>
        <row r="28">
          <cell r="B28" t="str">
            <v>Yogesh Naykodi</v>
          </cell>
          <cell r="C28" t="str">
            <v>yogesh_naykodi_st</v>
          </cell>
          <cell r="D28" t="str">
            <v>P</v>
          </cell>
        </row>
        <row r="29">
          <cell r="B29" t="str">
            <v>Mohd Ishhanque khan</v>
          </cell>
          <cell r="C29" t="str">
            <v>ishhanque_st</v>
          </cell>
          <cell r="D29" t="str">
            <v>P</v>
          </cell>
        </row>
        <row r="30">
          <cell r="B30" t="str">
            <v>Nilesh K Salunke</v>
          </cell>
          <cell r="C30" t="str">
            <v>nilesh_st</v>
          </cell>
          <cell r="D30" t="str">
            <v>P</v>
          </cell>
        </row>
        <row r="31">
          <cell r="B31" t="str">
            <v>Arsadur Rahaman Halder</v>
          </cell>
          <cell r="C31" t="str">
            <v>arsadur_st</v>
          </cell>
          <cell r="D31" t="str">
            <v>P</v>
          </cell>
        </row>
        <row r="32">
          <cell r="B32" t="str">
            <v>Kishor Krushna Tegade</v>
          </cell>
          <cell r="C32" t="str">
            <v>kishor_st</v>
          </cell>
          <cell r="D32" t="str">
            <v>P</v>
          </cell>
        </row>
        <row r="33">
          <cell r="B33" t="str">
            <v>Mithilesh Mishra</v>
          </cell>
          <cell r="C33" t="str">
            <v>mithlesh_st</v>
          </cell>
          <cell r="D33" t="str">
            <v>P</v>
          </cell>
        </row>
        <row r="34">
          <cell r="B34" t="str">
            <v>Vineet Rajpoot</v>
          </cell>
          <cell r="C34" t="str">
            <v>vineet_st</v>
          </cell>
          <cell r="D34" t="str">
            <v>P</v>
          </cell>
        </row>
        <row r="35">
          <cell r="B35" t="str">
            <v>Suyog Laxman Kajare</v>
          </cell>
          <cell r="C35" t="str">
            <v>suyog_st</v>
          </cell>
          <cell r="D35" t="str">
            <v>P</v>
          </cell>
        </row>
        <row r="36">
          <cell r="B36" t="str">
            <v>Suresh Gowda</v>
          </cell>
          <cell r="C36" t="str">
            <v>suresh_st</v>
          </cell>
          <cell r="D36" t="str">
            <v>P</v>
          </cell>
        </row>
        <row r="37">
          <cell r="B37" t="str">
            <v>Sunil P Bhagwat</v>
          </cell>
          <cell r="C37" t="str">
            <v>sunilb_st</v>
          </cell>
          <cell r="D37" t="str">
            <v>P</v>
          </cell>
        </row>
        <row r="38">
          <cell r="B38" t="str">
            <v>Ganesh Bhimsen Kumbhar</v>
          </cell>
          <cell r="C38" t="str">
            <v>ganeshk_st</v>
          </cell>
          <cell r="D38" t="str">
            <v>P</v>
          </cell>
        </row>
        <row r="39">
          <cell r="B39" t="str">
            <v>Devendra Pal Singh</v>
          </cell>
          <cell r="C39" t="str">
            <v>devendra_st</v>
          </cell>
          <cell r="D39" t="str">
            <v>P</v>
          </cell>
        </row>
        <row r="40">
          <cell r="B40" t="str">
            <v>Sagar Deepak Gurav</v>
          </cell>
          <cell r="C40" t="str">
            <v>sagar_st</v>
          </cell>
          <cell r="D40" t="str">
            <v>P</v>
          </cell>
        </row>
        <row r="41">
          <cell r="B41" t="str">
            <v>Pradeep  Brahampal Rajoria</v>
          </cell>
          <cell r="C41" t="str">
            <v>pradeep_st</v>
          </cell>
          <cell r="D41" t="str">
            <v>P</v>
          </cell>
        </row>
        <row r="42">
          <cell r="B42" t="str">
            <v>Raghvendra Kumar</v>
          </cell>
          <cell r="C42" t="str">
            <v>raghvendra_st</v>
          </cell>
          <cell r="D42" t="str">
            <v>P</v>
          </cell>
        </row>
        <row r="43">
          <cell r="B43" t="str">
            <v>Sanjeev S Panwar</v>
          </cell>
          <cell r="C43" t="str">
            <v>sanjeev_st</v>
          </cell>
          <cell r="D43" t="str">
            <v>P</v>
          </cell>
        </row>
        <row r="44">
          <cell r="B44" t="str">
            <v>Sachin Mahade</v>
          </cell>
          <cell r="C44" t="str">
            <v>sachin_st</v>
          </cell>
          <cell r="D44" t="str">
            <v>P</v>
          </cell>
        </row>
        <row r="45">
          <cell r="B45" t="str">
            <v>RATAN BAHADHUR SINGH</v>
          </cell>
          <cell r="C45" t="str">
            <v>ratan_st</v>
          </cell>
          <cell r="D45" t="str">
            <v>P</v>
          </cell>
        </row>
        <row r="46">
          <cell r="B46" t="str">
            <v>Rajnish Nimbark</v>
          </cell>
          <cell r="C46" t="str">
            <v>rajnish_st</v>
          </cell>
          <cell r="D46" t="str">
            <v>P</v>
          </cell>
        </row>
        <row r="47">
          <cell r="B47" t="str">
            <v>Pankaj Chaudhary</v>
          </cell>
          <cell r="C47" t="str">
            <v>pankaj_st</v>
          </cell>
          <cell r="D47" t="str">
            <v>A</v>
          </cell>
        </row>
        <row r="48">
          <cell r="B48" t="str">
            <v>Karim Khan</v>
          </cell>
          <cell r="C48" t="str">
            <v>karim_st</v>
          </cell>
          <cell r="D48" t="str">
            <v>P</v>
          </cell>
        </row>
        <row r="49">
          <cell r="B49" t="str">
            <v>Irrappa Bassapa</v>
          </cell>
          <cell r="C49" t="str">
            <v>irrappa_st</v>
          </cell>
          <cell r="D49" t="str">
            <v>P</v>
          </cell>
        </row>
        <row r="50">
          <cell r="B50" t="str">
            <v>Gopal  Sonkar</v>
          </cell>
          <cell r="C50" t="str">
            <v>gopal_st</v>
          </cell>
          <cell r="D50" t="str">
            <v>P</v>
          </cell>
        </row>
        <row r="51">
          <cell r="B51" t="str">
            <v>Dattatray Ganpat Ranmakar</v>
          </cell>
          <cell r="C51" t="str">
            <v>dattatray_st</v>
          </cell>
          <cell r="D51" t="str">
            <v>P</v>
          </cell>
        </row>
        <row r="52">
          <cell r="B52" t="str">
            <v>Badhan Sarkar</v>
          </cell>
          <cell r="C52" t="str">
            <v>badhan_st</v>
          </cell>
          <cell r="D52" t="str">
            <v>P</v>
          </cell>
        </row>
        <row r="53">
          <cell r="B53" t="str">
            <v>Ashok Soni</v>
          </cell>
          <cell r="C53" t="str">
            <v>ashok_st</v>
          </cell>
          <cell r="D53" t="str">
            <v>P</v>
          </cell>
        </row>
        <row r="54">
          <cell r="B54" t="str">
            <v>Ankaj Chaudhary</v>
          </cell>
          <cell r="C54" t="str">
            <v>ankaj_st</v>
          </cell>
          <cell r="D54" t="str">
            <v>P</v>
          </cell>
        </row>
        <row r="55">
          <cell r="B55" t="str">
            <v>Akhilesh Premprakash Giri</v>
          </cell>
          <cell r="C55" t="str">
            <v>akhilesh_st</v>
          </cell>
          <cell r="D55" t="str">
            <v>P</v>
          </cell>
        </row>
        <row r="56">
          <cell r="B56" t="str">
            <v>Adesh Kumar Patel</v>
          </cell>
          <cell r="C56" t="str">
            <v>adesh_st</v>
          </cell>
          <cell r="D56" t="str">
            <v>A</v>
          </cell>
        </row>
        <row r="57">
          <cell r="B57" t="str">
            <v>Saurabh Gupta</v>
          </cell>
          <cell r="C57" t="str">
            <v>saurabh_st</v>
          </cell>
          <cell r="D57" t="str">
            <v>P</v>
          </cell>
        </row>
        <row r="58">
          <cell r="B58" t="str">
            <v>RUPESH YASHWANT RANE</v>
          </cell>
          <cell r="C58" t="str">
            <v>rupesh_st</v>
          </cell>
          <cell r="D58" t="str">
            <v>P</v>
          </cell>
        </row>
        <row r="59">
          <cell r="B59" t="str">
            <v>Anish Kumar</v>
          </cell>
          <cell r="C59" t="str">
            <v>anish_st</v>
          </cell>
          <cell r="D59" t="str">
            <v>P</v>
          </cell>
        </row>
        <row r="60">
          <cell r="B60" t="str">
            <v>Shivanshu Dubey</v>
          </cell>
          <cell r="C60" t="str">
            <v>shivanshu_st</v>
          </cell>
          <cell r="D60" t="str">
            <v>P</v>
          </cell>
        </row>
        <row r="61">
          <cell r="B61" t="str">
            <v>Prabhakar Gopalrao Gaikwad</v>
          </cell>
          <cell r="C61" t="str">
            <v>prabhakar_st</v>
          </cell>
          <cell r="D61" t="str">
            <v>P</v>
          </cell>
        </row>
        <row r="62">
          <cell r="B62" t="str">
            <v>Azeem Khan</v>
          </cell>
          <cell r="C62" t="str">
            <v>azeem_st</v>
          </cell>
          <cell r="D62" t="str">
            <v>A</v>
          </cell>
        </row>
        <row r="63">
          <cell r="B63" t="str">
            <v>Kuljeet Singh</v>
          </cell>
          <cell r="C63" t="str">
            <v>kuljeet_st</v>
          </cell>
          <cell r="D63" t="str">
            <v>P</v>
          </cell>
        </row>
        <row r="64">
          <cell r="B64" t="str">
            <v>Shabbir Khan</v>
          </cell>
          <cell r="C64" t="str">
            <v>shabbir_st</v>
          </cell>
          <cell r="D64" t="str">
            <v>P</v>
          </cell>
        </row>
        <row r="65">
          <cell r="B65" t="str">
            <v>Abhiman Ganguly</v>
          </cell>
          <cell r="C65" t="str">
            <v>abhiman_st</v>
          </cell>
          <cell r="D65" t="str">
            <v>P</v>
          </cell>
        </row>
        <row r="66">
          <cell r="B66" t="str">
            <v>Test</v>
          </cell>
          <cell r="C66" t="str">
            <v>test_st</v>
          </cell>
          <cell r="D66" t="str">
            <v>A</v>
          </cell>
        </row>
        <row r="67">
          <cell r="B67" t="str">
            <v>test_vivek</v>
          </cell>
          <cell r="C67" t="str">
            <v>vivek_vinod</v>
          </cell>
          <cell r="D67" t="str">
            <v>A</v>
          </cell>
        </row>
        <row r="68">
          <cell r="B68" t="str">
            <v>Sachin Shelar</v>
          </cell>
          <cell r="C68" t="str">
            <v>sachin_shelar_st</v>
          </cell>
          <cell r="D68" t="str">
            <v>A</v>
          </cell>
        </row>
        <row r="69">
          <cell r="B69" t="str">
            <v>Deodutt Sharma</v>
          </cell>
          <cell r="C69" t="str">
            <v>deodatt_st</v>
          </cell>
          <cell r="D69" t="str">
            <v>A</v>
          </cell>
        </row>
        <row r="70">
          <cell r="B70" t="str">
            <v>Kishore</v>
          </cell>
          <cell r="C70" t="str">
            <v>kishore_st</v>
          </cell>
          <cell r="D70" t="str">
            <v>A</v>
          </cell>
        </row>
        <row r="71">
          <cell r="B71" t="str">
            <v>M. Chandrasekhar</v>
          </cell>
          <cell r="C71" t="str">
            <v>mchandrasekhar_st</v>
          </cell>
          <cell r="D71" t="str">
            <v>A</v>
          </cell>
        </row>
        <row r="72">
          <cell r="B72" t="str">
            <v>Madhav Varma</v>
          </cell>
          <cell r="C72" t="str">
            <v>madhav_st</v>
          </cell>
          <cell r="D72" t="str">
            <v>A</v>
          </cell>
        </row>
        <row r="73">
          <cell r="B73" t="str">
            <v>Neeraj Ojha</v>
          </cell>
          <cell r="C73" t="str">
            <v>neeraj_st</v>
          </cell>
          <cell r="D73" t="str">
            <v>A</v>
          </cell>
        </row>
        <row r="74">
          <cell r="B74" t="str">
            <v>Pradeep Dey</v>
          </cell>
          <cell r="C74" t="str">
            <v>pradeepdey_st</v>
          </cell>
          <cell r="D74" t="str">
            <v>A</v>
          </cell>
        </row>
        <row r="75">
          <cell r="B75" t="str">
            <v>Sandeep Dubey</v>
          </cell>
          <cell r="C75" t="str">
            <v>sandeepd_st</v>
          </cell>
          <cell r="D75" t="str">
            <v>A</v>
          </cell>
        </row>
        <row r="76">
          <cell r="B76" t="str">
            <v>Neyaz Ahmad Siddique</v>
          </cell>
          <cell r="C76" t="str">
            <v>neyaz_st</v>
          </cell>
          <cell r="D76" t="str">
            <v>A</v>
          </cell>
        </row>
        <row r="77">
          <cell r="B77" t="str">
            <v>Amit Kumar</v>
          </cell>
          <cell r="C77" t="str">
            <v>amitk_st</v>
          </cell>
          <cell r="D77" t="str">
            <v>A</v>
          </cell>
        </row>
        <row r="78">
          <cell r="B78" t="str">
            <v>Pradeep Kumar</v>
          </cell>
          <cell r="C78" t="str">
            <v>pradeepk_st</v>
          </cell>
          <cell r="D78" t="str">
            <v>A</v>
          </cell>
        </row>
        <row r="79">
          <cell r="B79" t="str">
            <v>Parthasarathi S C</v>
          </cell>
          <cell r="C79" t="str">
            <v>parth_st</v>
          </cell>
          <cell r="D79" t="str">
            <v>A</v>
          </cell>
        </row>
        <row r="80">
          <cell r="B80" t="str">
            <v>Mohd.Ahtesham</v>
          </cell>
          <cell r="C80" t="str">
            <v>ahtesham_st</v>
          </cell>
          <cell r="D80" t="str">
            <v>A</v>
          </cell>
        </row>
        <row r="81">
          <cell r="B81" t="str">
            <v>Faiz Alam</v>
          </cell>
          <cell r="C81" t="str">
            <v>faiz_st</v>
          </cell>
          <cell r="D81" t="str">
            <v>A</v>
          </cell>
        </row>
        <row r="82">
          <cell r="B82" t="str">
            <v>Ritik Gosai</v>
          </cell>
          <cell r="C82" t="str">
            <v>ritik_st</v>
          </cell>
          <cell r="D82" t="str">
            <v>A</v>
          </cell>
        </row>
        <row r="83">
          <cell r="B83" t="str">
            <v>Abhishek Aulakh</v>
          </cell>
          <cell r="C83" t="str">
            <v>abhishek_st</v>
          </cell>
          <cell r="D83" t="str">
            <v>A</v>
          </cell>
        </row>
        <row r="84">
          <cell r="B84" t="str">
            <v>Dinesh Sharma</v>
          </cell>
          <cell r="C84" t="str">
            <v>dinesh_st</v>
          </cell>
          <cell r="D84" t="str">
            <v>A</v>
          </cell>
        </row>
        <row r="85">
          <cell r="B85" t="str">
            <v>Dheeraj Shah</v>
          </cell>
          <cell r="C85" t="str">
            <v>dheeraj_st</v>
          </cell>
          <cell r="D85" t="str">
            <v>A</v>
          </cell>
        </row>
        <row r="86">
          <cell r="B86" t="str">
            <v>SK Mahasin Ali</v>
          </cell>
          <cell r="C86" t="str">
            <v>mahasin_st</v>
          </cell>
          <cell r="D86" t="str">
            <v>A</v>
          </cell>
        </row>
        <row r="87">
          <cell r="B87" t="str">
            <v>Praveen Kumar</v>
          </cell>
          <cell r="C87" t="str">
            <v>praveen_st</v>
          </cell>
          <cell r="D87" t="str">
            <v>A</v>
          </cell>
        </row>
        <row r="88">
          <cell r="B88" t="str">
            <v>Ranjan Kumar</v>
          </cell>
          <cell r="C88" t="str">
            <v>ranjan_st</v>
          </cell>
          <cell r="D88" t="str">
            <v>A</v>
          </cell>
        </row>
        <row r="89">
          <cell r="B89" t="str">
            <v>Abhinesh Vishwakarma</v>
          </cell>
          <cell r="C89" t="str">
            <v>abhinesh_st</v>
          </cell>
          <cell r="D89" t="str">
            <v>A</v>
          </cell>
        </row>
        <row r="90">
          <cell r="B90" t="str">
            <v>Deepak Tiwari</v>
          </cell>
          <cell r="C90" t="str">
            <v>deepakt_st</v>
          </cell>
          <cell r="D90" t="str">
            <v>A</v>
          </cell>
        </row>
        <row r="91">
          <cell r="B91" t="str">
            <v>Anil Gosai</v>
          </cell>
          <cell r="C91" t="str">
            <v>anil_st</v>
          </cell>
          <cell r="D91" t="str">
            <v>A</v>
          </cell>
        </row>
        <row r="92">
          <cell r="B92" t="str">
            <v>Ankush Bajirao Nikam</v>
          </cell>
          <cell r="C92" t="str">
            <v>ankush_st</v>
          </cell>
          <cell r="D92" t="str">
            <v>A</v>
          </cell>
        </row>
        <row r="93">
          <cell r="B93" t="str">
            <v>Sajid Ali Shaikh</v>
          </cell>
          <cell r="C93" t="str">
            <v>sajid_st</v>
          </cell>
          <cell r="D93" t="str">
            <v>A</v>
          </cell>
        </row>
        <row r="94">
          <cell r="B94" t="str">
            <v>Nasim Akhtar</v>
          </cell>
          <cell r="C94" t="str">
            <v>nasim_st</v>
          </cell>
          <cell r="D94" t="str">
            <v>A</v>
          </cell>
        </row>
        <row r="95">
          <cell r="B95" t="str">
            <v>Amit Singh</v>
          </cell>
          <cell r="C95" t="str">
            <v>amit_st</v>
          </cell>
          <cell r="D95" t="str">
            <v>A</v>
          </cell>
        </row>
        <row r="96">
          <cell r="B96" t="str">
            <v>Sanjeev Goel</v>
          </cell>
          <cell r="C96" t="str">
            <v>sanjeevg_st</v>
          </cell>
          <cell r="D96" t="str">
            <v>A</v>
          </cell>
        </row>
        <row r="97">
          <cell r="B97" t="str">
            <v>Suneel Kumar</v>
          </cell>
          <cell r="C97" t="str">
            <v>suneel_st</v>
          </cell>
          <cell r="D97" t="str">
            <v>A</v>
          </cell>
        </row>
        <row r="98">
          <cell r="B98" t="str">
            <v>admin_shaurrya</v>
          </cell>
          <cell r="C98" t="str">
            <v>admin_shaurrya</v>
          </cell>
          <cell r="D98" t="str">
            <v>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Full Name</v>
          </cell>
          <cell r="C1" t="str">
            <v>Username</v>
          </cell>
          <cell r="D1" t="str">
            <v>Apr 6, 2026</v>
          </cell>
        </row>
        <row r="2">
          <cell r="B2" t="str">
            <v>Karishma Shinde</v>
          </cell>
          <cell r="C2" t="str">
            <v>karishma_st</v>
          </cell>
          <cell r="D2" t="str">
            <v>--</v>
          </cell>
        </row>
        <row r="3">
          <cell r="B3" t="str">
            <v>Shalaka Sakharam Ambatkar</v>
          </cell>
          <cell r="C3" t="str">
            <v>shalaka_sts</v>
          </cell>
          <cell r="D3" t="str">
            <v>--</v>
          </cell>
        </row>
        <row r="4">
          <cell r="B4" t="str">
            <v>Satwinder Pal Jagotra</v>
          </cell>
          <cell r="C4" t="str">
            <v>satwinder_sts</v>
          </cell>
          <cell r="D4" t="str">
            <v>--</v>
          </cell>
        </row>
        <row r="5">
          <cell r="B5" t="str">
            <v>Sudarshan Ramrao Tigote</v>
          </cell>
          <cell r="C5" t="str">
            <v>sudarshan_st</v>
          </cell>
          <cell r="D5" t="str">
            <v>--</v>
          </cell>
        </row>
        <row r="6">
          <cell r="B6" t="str">
            <v>Manas Nanda</v>
          </cell>
          <cell r="C6" t="str">
            <v>manas_shaurrya</v>
          </cell>
          <cell r="D6" t="str">
            <v>44.33</v>
          </cell>
        </row>
        <row r="7">
          <cell r="B7" t="str">
            <v>Hariharan B</v>
          </cell>
          <cell r="C7" t="str">
            <v>hariharan_st</v>
          </cell>
          <cell r="D7" t="str">
            <v>--</v>
          </cell>
        </row>
        <row r="8">
          <cell r="B8" t="str">
            <v>Abhijeet Tukaram Gawthe</v>
          </cell>
          <cell r="C8" t="str">
            <v>abhijeet_sts</v>
          </cell>
          <cell r="D8" t="str">
            <v>--</v>
          </cell>
        </row>
        <row r="9">
          <cell r="B9" t="str">
            <v>Demo_shaurrya</v>
          </cell>
          <cell r="C9" t="str">
            <v>demo_shaurrya</v>
          </cell>
          <cell r="D9" t="str">
            <v>--</v>
          </cell>
        </row>
        <row r="10">
          <cell r="B10" t="str">
            <v>Ankush Shelotkar</v>
          </cell>
          <cell r="C10" t="str">
            <v>ankush_sts</v>
          </cell>
          <cell r="D10" t="str">
            <v>28.95</v>
          </cell>
        </row>
        <row r="11">
          <cell r="B11" t="str">
            <v>Sandeep Kumar Singh</v>
          </cell>
          <cell r="C11" t="str">
            <v>sanddepsingh_sts</v>
          </cell>
          <cell r="D11" t="str">
            <v>48.04</v>
          </cell>
        </row>
        <row r="12">
          <cell r="B12" t="str">
            <v>Sachin Verma</v>
          </cell>
          <cell r="C12" t="str">
            <v>sachin_sts</v>
          </cell>
          <cell r="D12" t="str">
            <v>--</v>
          </cell>
        </row>
        <row r="13">
          <cell r="B13" t="str">
            <v>Piyush Khobragade</v>
          </cell>
          <cell r="C13" t="str">
            <v>piyush_st</v>
          </cell>
          <cell r="D13" t="str">
            <v>63.47</v>
          </cell>
        </row>
        <row r="14">
          <cell r="B14" t="str">
            <v>Kalyan Kashinath Pathare</v>
          </cell>
          <cell r="C14" t="str">
            <v>kalyan_st</v>
          </cell>
          <cell r="D14" t="str">
            <v>--</v>
          </cell>
        </row>
        <row r="15">
          <cell r="B15" t="str">
            <v>Sandeep Rana</v>
          </cell>
          <cell r="C15" t="str">
            <v>sandeep_st</v>
          </cell>
          <cell r="D15" t="str">
            <v>--</v>
          </cell>
        </row>
        <row r="16">
          <cell r="B16" t="str">
            <v>Deepanshu Pandey</v>
          </cell>
          <cell r="C16" t="str">
            <v>dipanshu_st</v>
          </cell>
          <cell r="D16" t="str">
            <v>43.27</v>
          </cell>
        </row>
        <row r="17">
          <cell r="B17" t="str">
            <v>Amaan Aijaz</v>
          </cell>
          <cell r="C17" t="str">
            <v>amaan_st</v>
          </cell>
          <cell r="D17" t="str">
            <v>9.3</v>
          </cell>
        </row>
        <row r="18">
          <cell r="B18" t="str">
            <v>Sunpreet Singh</v>
          </cell>
          <cell r="C18" t="str">
            <v>sunpreet_st</v>
          </cell>
          <cell r="D18" t="str">
            <v>--</v>
          </cell>
        </row>
        <row r="19">
          <cell r="B19" t="str">
            <v>Pankaj Gaurav</v>
          </cell>
          <cell r="C19" t="str">
            <v>pankajg_st</v>
          </cell>
          <cell r="D19" t="str">
            <v>--</v>
          </cell>
        </row>
        <row r="20">
          <cell r="B20" t="str">
            <v>Deepak Nadar</v>
          </cell>
          <cell r="C20" t="str">
            <v>deepak_sts</v>
          </cell>
          <cell r="D20" t="str">
            <v>--</v>
          </cell>
        </row>
        <row r="21">
          <cell r="B21" t="str">
            <v>Afsar Ali</v>
          </cell>
          <cell r="C21" t="str">
            <v>afsar_st</v>
          </cell>
          <cell r="D21" t="str">
            <v>28.27</v>
          </cell>
        </row>
        <row r="22">
          <cell r="B22" t="str">
            <v>Sibayan Ghosh</v>
          </cell>
          <cell r="C22" t="str">
            <v>sibayan_st</v>
          </cell>
          <cell r="D22" t="str">
            <v>28.85</v>
          </cell>
        </row>
        <row r="23">
          <cell r="B23" t="str">
            <v>Niranjan M</v>
          </cell>
          <cell r="C23" t="str">
            <v>niranjan_sts</v>
          </cell>
          <cell r="D23" t="str">
            <v>69.83</v>
          </cell>
        </row>
        <row r="24">
          <cell r="B24" t="str">
            <v>Sushank Rajendra Mohakar</v>
          </cell>
          <cell r="C24" t="str">
            <v>sushank_sts</v>
          </cell>
          <cell r="D24" t="str">
            <v>--</v>
          </cell>
        </row>
        <row r="25">
          <cell r="B25" t="str">
            <v>Satish Megaraj</v>
          </cell>
          <cell r="C25" t="str">
            <v>satish_st</v>
          </cell>
          <cell r="D25" t="str">
            <v>27.67</v>
          </cell>
        </row>
        <row r="26">
          <cell r="B26" t="str">
            <v>Sagar Kanubhai</v>
          </cell>
          <cell r="C26" t="str">
            <v>sagark_st</v>
          </cell>
          <cell r="D26" t="str">
            <v>199.08</v>
          </cell>
        </row>
        <row r="27">
          <cell r="B27" t="str">
            <v>Rajesh Shukla</v>
          </cell>
          <cell r="C27" t="str">
            <v>rajesh_sts</v>
          </cell>
          <cell r="D27" t="str">
            <v>217.37</v>
          </cell>
        </row>
        <row r="28">
          <cell r="B28" t="str">
            <v>Yogesh Naykodi</v>
          </cell>
          <cell r="C28" t="str">
            <v>yogesh_naykodi_st</v>
          </cell>
          <cell r="D28" t="str">
            <v>41.31</v>
          </cell>
        </row>
        <row r="29">
          <cell r="B29" t="str">
            <v>Mohd Ishhanque khan</v>
          </cell>
          <cell r="C29" t="str">
            <v>ishhanque_st</v>
          </cell>
          <cell r="D29" t="str">
            <v>44.41</v>
          </cell>
        </row>
        <row r="30">
          <cell r="B30" t="str">
            <v>Nilesh K Salunke</v>
          </cell>
          <cell r="C30" t="str">
            <v>nilesh_st</v>
          </cell>
          <cell r="D30" t="str">
            <v>24.37</v>
          </cell>
        </row>
        <row r="31">
          <cell r="B31" t="str">
            <v>Arsadur Rahaman Halder</v>
          </cell>
          <cell r="C31" t="str">
            <v>arsadur_st</v>
          </cell>
          <cell r="D31" t="str">
            <v>5.6</v>
          </cell>
        </row>
        <row r="32">
          <cell r="B32" t="str">
            <v>Kishor Krushna Tegade</v>
          </cell>
          <cell r="C32" t="str">
            <v>kishor_st</v>
          </cell>
          <cell r="D32" t="str">
            <v>13.43</v>
          </cell>
        </row>
        <row r="33">
          <cell r="B33" t="str">
            <v>Mithilesh Mishra</v>
          </cell>
          <cell r="C33" t="str">
            <v>mithlesh_st</v>
          </cell>
          <cell r="D33" t="str">
            <v>0.55</v>
          </cell>
        </row>
        <row r="34">
          <cell r="B34" t="str">
            <v>Vineet Rajpoot</v>
          </cell>
          <cell r="C34" t="str">
            <v>vineet_st</v>
          </cell>
          <cell r="D34" t="str">
            <v>128.61</v>
          </cell>
        </row>
        <row r="35">
          <cell r="B35" t="str">
            <v>Suyog Laxman Kajare</v>
          </cell>
          <cell r="C35" t="str">
            <v>suyog_st</v>
          </cell>
          <cell r="D35" t="str">
            <v>50.62</v>
          </cell>
        </row>
        <row r="36">
          <cell r="B36" t="str">
            <v>Suresh Gowda</v>
          </cell>
          <cell r="C36" t="str">
            <v>suresh_st</v>
          </cell>
          <cell r="D36" t="str">
            <v>125.64</v>
          </cell>
        </row>
        <row r="37">
          <cell r="B37" t="str">
            <v>Sunil P Bhagwat</v>
          </cell>
          <cell r="C37" t="str">
            <v>sunilb_st</v>
          </cell>
          <cell r="D37" t="str">
            <v>93.19</v>
          </cell>
        </row>
        <row r="38">
          <cell r="B38" t="str">
            <v>Ganesh Bhimsen Kumbhar</v>
          </cell>
          <cell r="C38" t="str">
            <v>ganeshk_st</v>
          </cell>
          <cell r="D38" t="str">
            <v>19.13</v>
          </cell>
        </row>
        <row r="39">
          <cell r="B39" t="str">
            <v>Devendra Pal Singh</v>
          </cell>
          <cell r="C39" t="str">
            <v>devendra_st</v>
          </cell>
          <cell r="D39" t="str">
            <v>47.2</v>
          </cell>
        </row>
        <row r="40">
          <cell r="B40" t="str">
            <v>Sagar Deepak Gurav</v>
          </cell>
          <cell r="C40" t="str">
            <v>sagar_st</v>
          </cell>
          <cell r="D40" t="str">
            <v>32.18</v>
          </cell>
        </row>
        <row r="41">
          <cell r="B41" t="str">
            <v>Pradeep  Brahampal Rajoria</v>
          </cell>
          <cell r="C41" t="str">
            <v>pradeep_st</v>
          </cell>
          <cell r="D41" t="str">
            <v>67.26</v>
          </cell>
        </row>
        <row r="42">
          <cell r="B42" t="str">
            <v>Raghvendra Kumar</v>
          </cell>
          <cell r="C42" t="str">
            <v>raghvendra_st</v>
          </cell>
          <cell r="D42" t="str">
            <v>68.56</v>
          </cell>
        </row>
        <row r="43">
          <cell r="B43" t="str">
            <v>Sanjeev S Panwar</v>
          </cell>
          <cell r="C43" t="str">
            <v>sanjeev_st</v>
          </cell>
          <cell r="D43" t="str">
            <v>73.28</v>
          </cell>
        </row>
        <row r="44">
          <cell r="B44" t="str">
            <v>Sachin Mahade</v>
          </cell>
          <cell r="C44" t="str">
            <v>sachin_st</v>
          </cell>
          <cell r="D44" t="str">
            <v>42.46</v>
          </cell>
        </row>
        <row r="45">
          <cell r="B45" t="str">
            <v>RATAN BAHADHUR SINGH</v>
          </cell>
          <cell r="C45" t="str">
            <v>ratan_st</v>
          </cell>
          <cell r="D45" t="str">
            <v>9.49</v>
          </cell>
        </row>
        <row r="46">
          <cell r="B46" t="str">
            <v>Rajnish Nimbark</v>
          </cell>
          <cell r="C46" t="str">
            <v>rajnish_st</v>
          </cell>
          <cell r="D46" t="str">
            <v>42.46</v>
          </cell>
        </row>
        <row r="47">
          <cell r="B47" t="str">
            <v>Pankaj Chaudhary</v>
          </cell>
          <cell r="C47" t="str">
            <v>pankaj_st</v>
          </cell>
          <cell r="D47" t="str">
            <v>--</v>
          </cell>
        </row>
        <row r="48">
          <cell r="B48" t="str">
            <v>Karim Khan</v>
          </cell>
          <cell r="C48" t="str">
            <v>karim_st</v>
          </cell>
          <cell r="D48" t="str">
            <v>77.48</v>
          </cell>
        </row>
        <row r="49">
          <cell r="B49" t="str">
            <v>Irrappa Bassapa</v>
          </cell>
          <cell r="C49" t="str">
            <v>irrappa_st</v>
          </cell>
          <cell r="D49" t="str">
            <v>3.3</v>
          </cell>
        </row>
        <row r="50">
          <cell r="B50" t="str">
            <v>Gopal  Sonkar</v>
          </cell>
          <cell r="C50" t="str">
            <v>gopal_st</v>
          </cell>
          <cell r="D50" t="str">
            <v>10.22</v>
          </cell>
        </row>
        <row r="51">
          <cell r="B51" t="str">
            <v>Dattatray Ganpat Ranmakar</v>
          </cell>
          <cell r="C51" t="str">
            <v>dattatray_st</v>
          </cell>
          <cell r="D51" t="str">
            <v>106.1</v>
          </cell>
        </row>
        <row r="52">
          <cell r="B52" t="str">
            <v>Badhan Sarkar</v>
          </cell>
          <cell r="C52" t="str">
            <v>badhan_st</v>
          </cell>
          <cell r="D52" t="str">
            <v>57.58</v>
          </cell>
        </row>
        <row r="53">
          <cell r="B53" t="str">
            <v>Ashok Soni</v>
          </cell>
          <cell r="C53" t="str">
            <v>ashok_st</v>
          </cell>
          <cell r="D53" t="str">
            <v>39.68</v>
          </cell>
        </row>
        <row r="54">
          <cell r="B54" t="str">
            <v>Ankaj Chaudhary</v>
          </cell>
          <cell r="C54" t="str">
            <v>ankaj_st</v>
          </cell>
          <cell r="D54" t="str">
            <v>8.32</v>
          </cell>
        </row>
        <row r="55">
          <cell r="B55" t="str">
            <v>Akhilesh Premprakash Giri</v>
          </cell>
          <cell r="C55" t="str">
            <v>akhilesh_st</v>
          </cell>
          <cell r="D55" t="str">
            <v>25.42</v>
          </cell>
        </row>
        <row r="56">
          <cell r="B56" t="str">
            <v>Adesh Kumar Patel</v>
          </cell>
          <cell r="C56" t="str">
            <v>adesh_st</v>
          </cell>
          <cell r="D56" t="str">
            <v>--</v>
          </cell>
        </row>
        <row r="57">
          <cell r="B57" t="str">
            <v>Saurabh Gupta</v>
          </cell>
          <cell r="C57" t="str">
            <v>saurabh_st</v>
          </cell>
          <cell r="D57" t="str">
            <v>86.25</v>
          </cell>
        </row>
        <row r="58">
          <cell r="B58" t="str">
            <v>RUPESH YASHWANT RANE</v>
          </cell>
          <cell r="C58" t="str">
            <v>rupesh_st</v>
          </cell>
          <cell r="D58" t="str">
            <v>88.1</v>
          </cell>
        </row>
        <row r="59">
          <cell r="B59" t="str">
            <v>Anish Kumar</v>
          </cell>
          <cell r="C59" t="str">
            <v>anish_st</v>
          </cell>
          <cell r="D59" t="str">
            <v>98.59</v>
          </cell>
        </row>
        <row r="60">
          <cell r="B60" t="str">
            <v>Shivanshu Dubey</v>
          </cell>
          <cell r="C60" t="str">
            <v>shivanshu_st</v>
          </cell>
          <cell r="D60" t="str">
            <v>28.66</v>
          </cell>
        </row>
        <row r="61">
          <cell r="B61" t="str">
            <v>Prabhakar Gopalrao Gaikwad</v>
          </cell>
          <cell r="C61" t="str">
            <v>prabhakar_st</v>
          </cell>
          <cell r="D61" t="str">
            <v>58.91</v>
          </cell>
        </row>
        <row r="62">
          <cell r="B62" t="str">
            <v>Azeem Khan</v>
          </cell>
          <cell r="C62" t="str">
            <v>azeem_st</v>
          </cell>
          <cell r="D62" t="str">
            <v>--</v>
          </cell>
        </row>
        <row r="63">
          <cell r="B63" t="str">
            <v>Kuljeet Singh</v>
          </cell>
          <cell r="C63" t="str">
            <v>kuljeet_st</v>
          </cell>
          <cell r="D63" t="str">
            <v>7.73</v>
          </cell>
        </row>
        <row r="64">
          <cell r="B64" t="str">
            <v>Shabbir Khan</v>
          </cell>
          <cell r="C64" t="str">
            <v>shabbir_st</v>
          </cell>
          <cell r="D64" t="str">
            <v>199.72</v>
          </cell>
        </row>
        <row r="65">
          <cell r="B65" t="str">
            <v>Abhiman Ganguly</v>
          </cell>
          <cell r="C65" t="str">
            <v>abhiman_st</v>
          </cell>
          <cell r="D65" t="str">
            <v>23.48</v>
          </cell>
        </row>
        <row r="66">
          <cell r="B66" t="str">
            <v>Test</v>
          </cell>
          <cell r="C66" t="str">
            <v>test_st</v>
          </cell>
          <cell r="D66" t="str">
            <v>--</v>
          </cell>
        </row>
        <row r="67">
          <cell r="B67" t="str">
            <v>test_vivek</v>
          </cell>
          <cell r="C67" t="str">
            <v>vivek_vinod</v>
          </cell>
          <cell r="D67" t="str">
            <v>--</v>
          </cell>
        </row>
        <row r="68">
          <cell r="B68" t="str">
            <v>Sachin Shelar</v>
          </cell>
          <cell r="C68" t="str">
            <v>sachin_shelar_st</v>
          </cell>
          <cell r="D68" t="str">
            <v>--</v>
          </cell>
        </row>
        <row r="69">
          <cell r="B69" t="str">
            <v>Deodutt Sharma</v>
          </cell>
          <cell r="C69" t="str">
            <v>deodatt_st</v>
          </cell>
          <cell r="D69" t="str">
            <v>--</v>
          </cell>
        </row>
        <row r="70">
          <cell r="B70" t="str">
            <v>Kishore</v>
          </cell>
          <cell r="C70" t="str">
            <v>kishore_st</v>
          </cell>
          <cell r="D70" t="str">
            <v>--</v>
          </cell>
        </row>
        <row r="71">
          <cell r="B71" t="str">
            <v>M. Chandrasekhar</v>
          </cell>
          <cell r="C71" t="str">
            <v>mchandrasekhar_st</v>
          </cell>
          <cell r="D71" t="str">
            <v>--</v>
          </cell>
        </row>
        <row r="72">
          <cell r="B72" t="str">
            <v>Madhav Varma</v>
          </cell>
          <cell r="C72" t="str">
            <v>madhav_st</v>
          </cell>
          <cell r="D72" t="str">
            <v>--</v>
          </cell>
        </row>
        <row r="73">
          <cell r="B73" t="str">
            <v>Neeraj Ojha</v>
          </cell>
          <cell r="C73" t="str">
            <v>neeraj_st</v>
          </cell>
          <cell r="D73" t="str">
            <v>--</v>
          </cell>
        </row>
        <row r="74">
          <cell r="B74" t="str">
            <v>Pradeep Dey</v>
          </cell>
          <cell r="C74" t="str">
            <v>pradeepdey_st</v>
          </cell>
          <cell r="D74" t="str">
            <v>--</v>
          </cell>
        </row>
        <row r="75">
          <cell r="B75" t="str">
            <v>Sandeep Dubey</v>
          </cell>
          <cell r="C75" t="str">
            <v>sandeepd_st</v>
          </cell>
          <cell r="D75" t="str">
            <v>--</v>
          </cell>
        </row>
        <row r="76">
          <cell r="B76" t="str">
            <v>Neyaz Ahmad Siddique</v>
          </cell>
          <cell r="C76" t="str">
            <v>neyaz_st</v>
          </cell>
          <cell r="D76" t="str">
            <v>--</v>
          </cell>
        </row>
        <row r="77">
          <cell r="B77" t="str">
            <v>Amit Kumar</v>
          </cell>
          <cell r="C77" t="str">
            <v>amitk_st</v>
          </cell>
          <cell r="D77" t="str">
            <v>--</v>
          </cell>
        </row>
        <row r="78">
          <cell r="B78" t="str">
            <v>Pradeep Kumar</v>
          </cell>
          <cell r="C78" t="str">
            <v>pradeepk_st</v>
          </cell>
          <cell r="D78" t="str">
            <v>--</v>
          </cell>
        </row>
        <row r="79">
          <cell r="B79" t="str">
            <v>Parthasarathi S C</v>
          </cell>
          <cell r="C79" t="str">
            <v>parth_st</v>
          </cell>
          <cell r="D79" t="str">
            <v>--</v>
          </cell>
        </row>
        <row r="80">
          <cell r="B80" t="str">
            <v>Mohd.Ahtesham</v>
          </cell>
          <cell r="C80" t="str">
            <v>ahtesham_st</v>
          </cell>
          <cell r="D80" t="str">
            <v>--</v>
          </cell>
        </row>
        <row r="81">
          <cell r="B81" t="str">
            <v>Faiz Alam</v>
          </cell>
          <cell r="C81" t="str">
            <v>faiz_st</v>
          </cell>
          <cell r="D81" t="str">
            <v>--</v>
          </cell>
        </row>
        <row r="82">
          <cell r="B82" t="str">
            <v>Ritik Gosai</v>
          </cell>
          <cell r="C82" t="str">
            <v>ritik_st</v>
          </cell>
          <cell r="D82" t="str">
            <v>--</v>
          </cell>
        </row>
        <row r="83">
          <cell r="B83" t="str">
            <v>Abhishek Aulakh</v>
          </cell>
          <cell r="C83" t="str">
            <v>abhishek_st</v>
          </cell>
          <cell r="D83" t="str">
            <v>--</v>
          </cell>
        </row>
        <row r="84">
          <cell r="B84" t="str">
            <v>Dinesh Sharma</v>
          </cell>
          <cell r="C84" t="str">
            <v>dinesh_st</v>
          </cell>
          <cell r="D84" t="str">
            <v>--</v>
          </cell>
        </row>
        <row r="85">
          <cell r="B85" t="str">
            <v>Dheeraj Shah</v>
          </cell>
          <cell r="C85" t="str">
            <v>dheeraj_st</v>
          </cell>
          <cell r="D85" t="str">
            <v>--</v>
          </cell>
        </row>
        <row r="86">
          <cell r="B86" t="str">
            <v>SK Mahasin Ali</v>
          </cell>
          <cell r="C86" t="str">
            <v>mahasin_st</v>
          </cell>
          <cell r="D86" t="str">
            <v>--</v>
          </cell>
        </row>
        <row r="87">
          <cell r="B87" t="str">
            <v>Praveen Kumar</v>
          </cell>
          <cell r="C87" t="str">
            <v>praveen_st</v>
          </cell>
          <cell r="D87" t="str">
            <v>--</v>
          </cell>
        </row>
        <row r="88">
          <cell r="B88" t="str">
            <v>Ranjan Kumar</v>
          </cell>
          <cell r="C88" t="str">
            <v>ranjan_st</v>
          </cell>
          <cell r="D88" t="str">
            <v>--</v>
          </cell>
        </row>
        <row r="89">
          <cell r="B89" t="str">
            <v>Abhinesh Vishwakarma</v>
          </cell>
          <cell r="C89" t="str">
            <v>abhinesh_st</v>
          </cell>
          <cell r="D89" t="str">
            <v>--</v>
          </cell>
        </row>
        <row r="90">
          <cell r="B90" t="str">
            <v>Deepak Tiwari</v>
          </cell>
          <cell r="C90" t="str">
            <v>deepakt_st</v>
          </cell>
          <cell r="D90" t="str">
            <v>--</v>
          </cell>
        </row>
        <row r="91">
          <cell r="B91" t="str">
            <v>Anil Gosai</v>
          </cell>
          <cell r="C91" t="str">
            <v>anil_st</v>
          </cell>
          <cell r="D91" t="str">
            <v>--</v>
          </cell>
        </row>
        <row r="92">
          <cell r="B92" t="str">
            <v>Ankush Bajirao Nikam</v>
          </cell>
          <cell r="C92" t="str">
            <v>ankush_st</v>
          </cell>
          <cell r="D92" t="str">
            <v>--</v>
          </cell>
        </row>
        <row r="93">
          <cell r="B93" t="str">
            <v>Sajid Ali Shaikh</v>
          </cell>
          <cell r="C93" t="str">
            <v>sajid_st</v>
          </cell>
          <cell r="D93" t="str">
            <v>--</v>
          </cell>
        </row>
        <row r="94">
          <cell r="B94" t="str">
            <v>Nasim Akhtar</v>
          </cell>
          <cell r="C94" t="str">
            <v>nasim_st</v>
          </cell>
          <cell r="D94" t="str">
            <v>--</v>
          </cell>
        </row>
        <row r="95">
          <cell r="B95" t="str">
            <v>Amit Singh</v>
          </cell>
          <cell r="C95" t="str">
            <v>amit_st</v>
          </cell>
          <cell r="D95" t="str">
            <v>--</v>
          </cell>
        </row>
        <row r="96">
          <cell r="B96" t="str">
            <v>Sanjeev Goel</v>
          </cell>
          <cell r="C96" t="str">
            <v>sanjeevg_st</v>
          </cell>
          <cell r="D96" t="str">
            <v>--</v>
          </cell>
        </row>
        <row r="97">
          <cell r="B97" t="str">
            <v>Suneel Kumar</v>
          </cell>
          <cell r="C97" t="str">
            <v>suneel_st</v>
          </cell>
          <cell r="D97" t="str">
            <v>--</v>
          </cell>
        </row>
        <row r="98">
          <cell r="B98" t="str">
            <v>admin_shaurrya</v>
          </cell>
          <cell r="C98" t="str">
            <v>admin_shaurrya</v>
          </cell>
          <cell r="D98" t="str">
            <v>--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ivity Report"/>
    </sheetNames>
    <sheetDataSet>
      <sheetData sheetId="0">
        <row r="1">
          <cell r="A1" t="str">
            <v>Employee Name</v>
          </cell>
          <cell r="B1" t="str">
            <v>Employee Username</v>
          </cell>
          <cell r="C1" t="str">
            <v>No of Forms Filled</v>
          </cell>
        </row>
        <row r="2">
          <cell r="A2" t="str">
            <v>Deepanshu Pandey </v>
          </cell>
          <cell r="B2" t="str">
            <v>dipanshu_st</v>
          </cell>
          <cell r="C2" t="str">
            <v>1</v>
          </cell>
        </row>
        <row r="3">
          <cell r="A3" t="str">
            <v>Ashok Soni</v>
          </cell>
          <cell r="B3" t="str">
            <v>ashok_st</v>
          </cell>
          <cell r="C3" t="str">
            <v>2</v>
          </cell>
        </row>
        <row r="4">
          <cell r="A4" t="str">
            <v>Sunil P Bhagwat</v>
          </cell>
          <cell r="B4" t="str">
            <v>sunilb_st</v>
          </cell>
          <cell r="C4" t="str">
            <v>1</v>
          </cell>
        </row>
        <row r="5">
          <cell r="A5" t="str">
            <v>RATAN BAHADHUR SINGH</v>
          </cell>
          <cell r="B5" t="str">
            <v>ratan_st</v>
          </cell>
          <cell r="C5" t="str">
            <v>1</v>
          </cell>
        </row>
        <row r="6">
          <cell r="A6" t="str">
            <v>Ankaj Chaudhary</v>
          </cell>
          <cell r="B6" t="str">
            <v>ankaj_st</v>
          </cell>
          <cell r="C6" t="str">
            <v>1</v>
          </cell>
        </row>
        <row r="7">
          <cell r="A7" t="str">
            <v>Rajnish Nimbark</v>
          </cell>
          <cell r="B7" t="str">
            <v>rajnish_st</v>
          </cell>
          <cell r="C7" t="str">
            <v>1</v>
          </cell>
        </row>
        <row r="8">
          <cell r="A8" t="str">
            <v>Devendra Pal Singh</v>
          </cell>
          <cell r="B8" t="str">
            <v>devendra_st</v>
          </cell>
          <cell r="C8" t="str">
            <v>1</v>
          </cell>
        </row>
        <row r="9">
          <cell r="A9" t="str">
            <v>Amaan Aijaz</v>
          </cell>
          <cell r="B9" t="str">
            <v>amaan_st</v>
          </cell>
          <cell r="C9" t="str">
            <v>1</v>
          </cell>
        </row>
        <row r="10">
          <cell r="A10" t="str">
            <v>Suyog Laxman Kajare</v>
          </cell>
          <cell r="B10" t="str">
            <v>suyog_st</v>
          </cell>
          <cell r="C10" t="str">
            <v>1</v>
          </cell>
        </row>
        <row r="11">
          <cell r="A11" t="str">
            <v>Sagar Kanubhai</v>
          </cell>
          <cell r="B11" t="str">
            <v>sagark_st</v>
          </cell>
          <cell r="C11" t="str">
            <v>3</v>
          </cell>
        </row>
        <row r="12">
          <cell r="A12" t="str">
            <v>Ganesh Bhimsen Kumbhar</v>
          </cell>
          <cell r="B12" t="str">
            <v>ganeshk_st</v>
          </cell>
          <cell r="C12" t="str">
            <v>1</v>
          </cell>
        </row>
        <row r="13">
          <cell r="A13" t="str">
            <v>Pradeep  Brahampal Rajoria</v>
          </cell>
          <cell r="B13" t="str">
            <v>pradeep_st</v>
          </cell>
          <cell r="C13" t="str">
            <v>2</v>
          </cell>
        </row>
        <row r="14">
          <cell r="A14" t="str">
            <v>Sanjeev S Panwar</v>
          </cell>
          <cell r="B14" t="str">
            <v>sanjeev_st</v>
          </cell>
          <cell r="C14" t="str">
            <v>1</v>
          </cell>
        </row>
        <row r="15">
          <cell r="A15" t="str">
            <v>Sandeep Kumar Singh</v>
          </cell>
          <cell r="B15" t="str">
            <v>sanddepsingh_sts</v>
          </cell>
          <cell r="C15" t="str">
            <v>1</v>
          </cell>
        </row>
        <row r="16">
          <cell r="A16" t="str">
            <v>Gopal  Sonkar</v>
          </cell>
          <cell r="B16" t="str">
            <v>gopal_st</v>
          </cell>
          <cell r="C16" t="str">
            <v>1</v>
          </cell>
        </row>
        <row r="17">
          <cell r="A17" t="str">
            <v>Yogesh Naykodi</v>
          </cell>
          <cell r="B17" t="str">
            <v>yogesh_naykodi_st</v>
          </cell>
          <cell r="C17" t="str">
            <v>1</v>
          </cell>
        </row>
        <row r="18">
          <cell r="A18" t="str">
            <v>Sagar Deepak Gurav</v>
          </cell>
          <cell r="B18" t="str">
            <v>sagar_st</v>
          </cell>
          <cell r="C18" t="str">
            <v>3</v>
          </cell>
        </row>
        <row r="19">
          <cell r="A19" t="str">
            <v>Mohd Ishhanque khan</v>
          </cell>
          <cell r="B19" t="str">
            <v>ishhanque_st</v>
          </cell>
          <cell r="C19" t="str">
            <v>1</v>
          </cell>
        </row>
        <row r="20">
          <cell r="A20" t="str">
            <v>Afsar Ali</v>
          </cell>
          <cell r="B20" t="str">
            <v>afsar_st</v>
          </cell>
          <cell r="C20" t="str">
            <v>4</v>
          </cell>
        </row>
        <row r="21">
          <cell r="A21" t="str">
            <v>Abhiman Ganguly</v>
          </cell>
          <cell r="B21" t="str">
            <v>abhiman_st</v>
          </cell>
          <cell r="C21" t="str">
            <v>2</v>
          </cell>
        </row>
        <row r="22">
          <cell r="A22" t="str">
            <v>Prabhakar Gopalrao Gaikwad</v>
          </cell>
          <cell r="B22" t="str">
            <v>prabhakar_st</v>
          </cell>
          <cell r="C22" t="str">
            <v>2</v>
          </cell>
        </row>
        <row r="23">
          <cell r="A23" t="str">
            <v>Akhilesh Premprakash Giri</v>
          </cell>
          <cell r="B23" t="str">
            <v>akhilesh_st</v>
          </cell>
          <cell r="C23" t="str">
            <v>1</v>
          </cell>
        </row>
        <row r="24">
          <cell r="A24" t="str">
            <v>Anish Kumar</v>
          </cell>
          <cell r="B24" t="str">
            <v>anish_st</v>
          </cell>
          <cell r="C24" t="str">
            <v>2</v>
          </cell>
        </row>
        <row r="25">
          <cell r="A25" t="str">
            <v>Nilesh K Salunke</v>
          </cell>
          <cell r="B25" t="str">
            <v>nilesh_st</v>
          </cell>
          <cell r="C25" t="str">
            <v>1</v>
          </cell>
        </row>
        <row r="26">
          <cell r="A26" t="str">
            <v>Raghvendra Kumar</v>
          </cell>
          <cell r="B26" t="str">
            <v>raghvendra_st</v>
          </cell>
          <cell r="C26" t="str">
            <v>3</v>
          </cell>
        </row>
        <row r="27">
          <cell r="A27" t="str">
            <v>Shivanshu Dubey</v>
          </cell>
          <cell r="B27" t="str">
            <v>shivanshu_st</v>
          </cell>
          <cell r="C27" t="str">
            <v>1</v>
          </cell>
        </row>
        <row r="28">
          <cell r="A28" t="str">
            <v>Shabbir Khan</v>
          </cell>
          <cell r="B28" t="str">
            <v>shabbir_st</v>
          </cell>
          <cell r="C28" t="str">
            <v>2</v>
          </cell>
        </row>
        <row r="29">
          <cell r="A29" t="str">
            <v>Suresh Gowda</v>
          </cell>
          <cell r="B29" t="str">
            <v>suresh_st</v>
          </cell>
          <cell r="C29" t="str">
            <v>1</v>
          </cell>
        </row>
        <row r="30">
          <cell r="A30" t="str">
            <v>Kishor Krushna Tegade</v>
          </cell>
          <cell r="B30" t="str">
            <v>kishor_st</v>
          </cell>
          <cell r="C30" t="str">
            <v>1</v>
          </cell>
        </row>
        <row r="31">
          <cell r="A31" t="str">
            <v>Niranjan M</v>
          </cell>
          <cell r="B31" t="str">
            <v>niranjan_sts</v>
          </cell>
          <cell r="C31" t="str">
            <v>2</v>
          </cell>
        </row>
        <row r="32">
          <cell r="A32" t="str">
            <v>Rajesh Shukla</v>
          </cell>
          <cell r="B32" t="str">
            <v>rajesh_sts</v>
          </cell>
          <cell r="C32" t="str">
            <v>1</v>
          </cell>
        </row>
        <row r="33">
          <cell r="A33" t="str">
            <v>Kuljeet Singh</v>
          </cell>
          <cell r="B33" t="str">
            <v>kuljeet_st</v>
          </cell>
          <cell r="C33" t="str">
            <v>1</v>
          </cell>
        </row>
        <row r="34">
          <cell r="A34" t="str">
            <v>RUPESH YASHWANT RANE</v>
          </cell>
          <cell r="B34" t="str">
            <v>rupesh_st</v>
          </cell>
          <cell r="C34" t="str">
            <v>1</v>
          </cell>
        </row>
        <row r="35">
          <cell r="A35" t="str">
            <v>Sibayan Ghosh</v>
          </cell>
          <cell r="B35" t="str">
            <v>sibayan_st</v>
          </cell>
          <cell r="C35" t="str">
            <v>2</v>
          </cell>
        </row>
        <row r="36">
          <cell r="A36" t="str">
            <v>Ankush Shelotkar</v>
          </cell>
          <cell r="B36" t="str">
            <v>ankush_sts</v>
          </cell>
          <cell r="C36" t="str">
            <v>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125.725252199074" createdVersion="8" refreshedVersion="8" minRefreshableVersion="3" recordCount="50" xr:uid="{4E7AA4B4-BD8D-4355-9B32-0684E0A2EC52}">
  <cacheSource type="worksheet">
    <worksheetSource ref="A1:O1048576" sheet="Productivity Report"/>
  </cacheSource>
  <cacheFields count="15">
    <cacheField name="Full Name" numFmtId="0">
      <sharedItems containsBlank="1" count="50">
        <s v="Anish Kumar"/>
        <s v="Sanjeev S Panwar"/>
        <s v="Saurabh Gupta"/>
        <s v="Adesh Kumar Patel"/>
        <s v="Ankaj Chaudhary"/>
        <s v="Mithilesh Mishra"/>
        <s v="Pankaj Chaudhary"/>
        <s v="Shivanshu Dubey"/>
        <s v="Devendra Pal Singh"/>
        <s v="Raghvendra Kumar"/>
        <s v="Vineet Rajpoot"/>
        <s v="Rajnish Nimbark"/>
        <s v="Sandeep Kumar Singh"/>
        <s v="Sagar Kanubhai"/>
        <s v="Kuljeet Singh"/>
        <s v="Satish Megaraj"/>
        <s v="Irrappa Bassapa"/>
        <s v="Suresh Gowda"/>
        <s v="Niranjan M"/>
        <s v="Sibayan Ghosh"/>
        <s v="Abhiman Ganguly"/>
        <s v="Arsadur Rahaman Halder"/>
        <s v="Badhan Sarkar"/>
        <s v="Karim Khan"/>
        <s v="Dattatray Ganpat Ranmakar"/>
        <s v="Ganesh Bhimsen Kumbhar"/>
        <s v="Prabhakar Gopalrao Gaikwad"/>
        <s v="Yogesh Naykodi"/>
        <s v="Shabbir Khan"/>
        <s v="Piyush Khobragade"/>
        <s v="Sunil P Bhagwat"/>
        <s v="Akhilesh Premprakash Giri"/>
        <s v="Ashok Soni"/>
        <s v="Gopal  Sonkar"/>
        <s v="Kishor Krushna Tegade"/>
        <s v="RATAN BAHADHUR SINGH"/>
        <s v="RUPESH YASHWANT RANE"/>
        <s v="Sachin Mahade"/>
        <s v="Suyog Laxman Kajare"/>
        <s v="Nilesh K Salunke"/>
        <s v="Afsar Ali"/>
        <s v="Ankush Shelotkar"/>
        <s v="Mohd Ishhanque khan"/>
        <s v="Pradeep  Brahampal Rajoria"/>
        <s v="Sagar Deepak Gurav"/>
        <s v="Sushank Rajendra Mohakar"/>
        <s v="Amaan Aijaz"/>
        <s v="Deepanshu Pandey"/>
        <s v="Rajesh Shukla"/>
        <m/>
      </sharedItems>
    </cacheField>
    <cacheField name="Username" numFmtId="0">
      <sharedItems containsBlank="1"/>
    </cacheField>
    <cacheField name="Circle" numFmtId="0">
      <sharedItems containsBlank="1" count="10">
        <s v="Delhi NCR"/>
        <s v="Gujarat"/>
        <s v="Gurgaon"/>
        <s v="Karnataka"/>
        <s v="Kolkata"/>
        <s v="Maharashtra"/>
        <s v="Mumbai"/>
        <s v="UPE"/>
        <s v="UPW"/>
        <m/>
      </sharedItems>
    </cacheField>
    <cacheField name="Business Domain" numFmtId="0">
      <sharedItems containsBlank="1"/>
    </cacheField>
    <cacheField name="Role" numFmtId="0">
      <sharedItems containsBlank="1"/>
    </cacheField>
    <cacheField name="06-Apr-26" numFmtId="0">
      <sharedItems containsBlank="1"/>
    </cacheField>
    <cacheField name="Distance" numFmtId="0">
      <sharedItems containsBlank="1" containsMixedTypes="1" containsNumber="1" containsInteger="1" minValue="0" maxValue="0"/>
    </cacheField>
    <cacheField name="No of Forms Filled" numFmtId="0">
      <sharedItems containsBlank="1" containsMixedTypes="1" containsNumber="1" containsInteger="1" minValue="0" maxValue="1"/>
    </cacheField>
    <cacheField name="Validated Remark" numFmtId="0">
      <sharedItems containsBlank="1" count="6">
        <s v="Work done, Verified"/>
        <s v="WFO"/>
        <s v="On Leave"/>
        <s v="WFH"/>
        <s v="No work done"/>
        <m/>
      </sharedItems>
    </cacheField>
    <cacheField name="Form Type" numFmtId="0">
      <sharedItems containsBlank="1"/>
    </cacheField>
    <cacheField name="Remark" numFmtId="0">
      <sharedItems containsBlank="1"/>
    </cacheField>
    <cacheField name="Reason for visit" numFmtId="0">
      <sharedItems containsBlank="1"/>
    </cacheField>
    <cacheField name="Location" numFmtId="0">
      <sharedItems containsBlank="1"/>
    </cacheField>
    <cacheField name="Site Lat-Long" numFmtId="0">
      <sharedItems containsBlank="1"/>
    </cacheField>
    <cacheField name="Need to Improv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anish_st"/>
    <x v="0"/>
    <s v="Enterprise"/>
    <s v="O&amp;M"/>
    <s v="P"/>
    <s v="98.59"/>
    <s v="2"/>
    <x v="0"/>
    <s v="Filled 2 Form (OD Operation)"/>
    <s v="2-Site visit(bhramnivash society,sholt hotel faridabad)"/>
    <s v="FTTH-Airtel power issue, lease line"/>
    <s v="1677, NH-19, Rajendra Colony, Sector 28, Faridabad, Haryana 121008, India"/>
    <s v="28.4310146, 77.3100308"/>
    <s v="Update all remark"/>
  </r>
  <r>
    <x v="1"/>
    <s v="sanjeev_st"/>
    <x v="0"/>
    <s v="Enterprise"/>
    <s v="O&amp;M"/>
    <s v="P"/>
    <s v="73.28"/>
    <s v="1"/>
    <x v="0"/>
    <s v="Filled 1 Form (Meeting Form)"/>
    <s v="Meet 1 people(Name- Mr. Rakesh)"/>
    <s v="Customer Visit(ILL req)"/>
    <s v="Mathura Main Road, Hsiidc Industrial Area, Sector 31, Faridabad "/>
    <s v="NA"/>
    <s v="Update all remark "/>
  </r>
  <r>
    <x v="2"/>
    <s v="saurabh_st"/>
    <x v="0"/>
    <s v="Mobility"/>
    <s v="Business"/>
    <s v="P"/>
    <s v="86.25"/>
    <n v="0"/>
    <x v="1"/>
    <s v="Did not filled the form"/>
    <s v="WFO"/>
    <s v="WFO"/>
    <s v="Gurgaon Office"/>
    <s v="28.476166, 77.093109"/>
    <s v="Need to fill the form "/>
  </r>
  <r>
    <x v="3"/>
    <s v="adesh_st"/>
    <x v="0"/>
    <s v="Mobility"/>
    <s v="O&amp;M"/>
    <s v="A"/>
    <n v="0"/>
    <n v="0"/>
    <x v="2"/>
    <s v="On Leave"/>
    <s v="Confirmed with Jui ma’am — he is on leave."/>
    <s v="On Leave"/>
    <s v="NA"/>
    <s v="NA"/>
    <s v="NA"/>
  </r>
  <r>
    <x v="4"/>
    <s v="ankaj_st"/>
    <x v="0"/>
    <s v="Mobility"/>
    <s v="O&amp;M"/>
    <s v="P"/>
    <s v="8.32"/>
    <s v="1"/>
    <x v="0"/>
    <s v="Filled 1 Form (OD Operation)"/>
    <s v="1-Site visit(ST-DELHI-HPSC-003)He forgot to fill the form at the site and completed it after reaching home. Distance is approx. 2 km"/>
    <s v="TPMS alarm"/>
    <s v="1603, Sector 10-Sector 10a-Urban Estate, Basai Village, Gurugram"/>
    <s v="28.434038, 77.00462"/>
    <s v="Update all remark and fill the form on location"/>
  </r>
  <r>
    <x v="5"/>
    <s v="mithlesh_st"/>
    <x v="0"/>
    <s v="Mobility"/>
    <s v="O&amp;M"/>
    <s v="P"/>
    <s v="0.55"/>
    <n v="0"/>
    <x v="3"/>
    <s v="NA"/>
    <s v="As discussed,WFH"/>
    <s v="WFH"/>
    <s v="Home"/>
    <s v="NA"/>
    <s v="NA"/>
  </r>
  <r>
    <x v="6"/>
    <s v="pankaj_st"/>
    <x v="0"/>
    <s v="Mobility"/>
    <s v="O&amp;M"/>
    <s v="A"/>
    <n v="0"/>
    <n v="0"/>
    <x v="2"/>
    <s v="On Leave"/>
    <s v="Confirmed with Jui ma’am — he is on leave."/>
    <s v="On Leave"/>
    <s v="NA"/>
    <s v="NA"/>
    <s v="NA"/>
  </r>
  <r>
    <x v="7"/>
    <s v="shivanshu_st"/>
    <x v="0"/>
    <s v="Mobility"/>
    <s v="O&amp;M"/>
    <s v="P"/>
    <s v="28.66"/>
    <n v="0"/>
    <x v="0"/>
    <s v="Did not filled the form"/>
    <s v="Travelled from Noida Sector 2 to Faridabad"/>
    <s v="O&amp;M staff were on leave, so he was called to Noida on Sunday to look into the outage."/>
    <s v="Noida"/>
    <s v="NA"/>
    <s v="Need to fill the form "/>
  </r>
  <r>
    <x v="8"/>
    <s v="devendra_st"/>
    <x v="0"/>
    <s v="Mobility"/>
    <s v="SA"/>
    <s v="P"/>
    <s v="47.2"/>
    <s v="1"/>
    <x v="0"/>
    <s v="Filled 1 Form (OD SURVEY)"/>
    <s v="1-Site visit(udyog vihar // 0466)"/>
    <s v="Trying to acquire "/>
    <s v="Pankaj Tea Stall, Old Delhi Gurgaon Road, Kapashera Border, Kapashera, Delhi"/>
    <s v="28.52232, 77.0829"/>
    <s v="NA"/>
  </r>
  <r>
    <x v="9"/>
    <s v="raghvendra_st"/>
    <x v="0"/>
    <s v="Mobility"/>
    <s v="SA"/>
    <s v="P"/>
    <s v="68.56"/>
    <s v="3"/>
    <x v="0"/>
    <s v="Filled 3 Form (Meeting Form)"/>
    <s v="Meet 1 people(Shahrukh,owner), Meet 1 people(Ashok,Asst Manager),Meet 1 people(Maintnence Staff,Asst Manager),  3-Site Name(Dallopura trilokpuri, Homes 121, Techzone 4) Offline SR."/>
    <s v="(Owner backout due to public issue, Praposal send on mail by Saurabh Gupta, Under discussion for permission with owners association)"/>
    <s v="C13, Tech Zone 4, Greater Noida 201009, India"/>
    <s v="28.60886,77.3092256 &amp; 28.59876, 77.4024792 &amp;28.589095, 77.44440"/>
    <s v="NA"/>
  </r>
  <r>
    <x v="10"/>
    <s v="vineet_st"/>
    <x v="0"/>
    <s v="Mobility"/>
    <s v="SA"/>
    <s v="P"/>
    <s v="128.61"/>
    <n v="0"/>
    <x v="0"/>
    <s v="Did not filled the form"/>
    <s v="Site Visit(ST-DELHI-HPSC-011 // ST-DELHI-HPSC-263)"/>
    <s v="Fiber issue"/>
    <s v="306-4RT Gali No 3, Mandawali Village-Saket Block, Mandawali, Delhi"/>
    <s v="28.63171, 77.388723-ST-DELHI-HPSC-011, 28.6281, 77.2918-ST-DELHI-HPSC-263"/>
    <s v="Need to fill the form "/>
  </r>
  <r>
    <x v="11"/>
    <s v="rajnish_st"/>
    <x v="1"/>
    <s v="Mobility"/>
    <s v="Business"/>
    <s v="P"/>
    <s v="42.46"/>
    <s v="1"/>
    <x v="0"/>
    <s v="Filled 1 Form (Meeting Form)"/>
    <s v="Meet 1 people(Name- Ankit Shrivastava)"/>
    <s v="Billing discussions in the VIL office"/>
    <s v="303, Makarba, Ahmedabad 380051"/>
    <s v="23.00385440, 72.5025992"/>
    <s v="NA"/>
  </r>
  <r>
    <x v="12"/>
    <s v="sanddepsingh_sts"/>
    <x v="1"/>
    <s v="Mobility"/>
    <s v="Project"/>
    <s v="P"/>
    <s v="48.04"/>
    <s v="1"/>
    <x v="0"/>
    <s v="Filled 1 Form (OD SURVEY)"/>
    <s v="1-Site visit(virel0584)"/>
    <s v="Trying to acquire "/>
    <s v="43, Bopal, Ahmedabad 380058, India"/>
    <s v="23.02474, 72.47352"/>
    <s v="NA"/>
  </r>
  <r>
    <x v="13"/>
    <s v="sagark_st"/>
    <x v="1"/>
    <s v="Mobility"/>
    <s v="SA"/>
    <s v="P"/>
    <s v="199.08"/>
    <s v="3"/>
    <x v="0"/>
    <s v="Filled 3 Form (OD SURVEY)"/>
    <s v="2-Site Visit(VIRel0979, VIRel0961)"/>
    <s v="Trying to acquire "/>
    <s v="Khanpur Primary School, Vyara Sub-District 394641"/>
    <s v="21.04775, 73.34271 &amp; 21.2961, 73.3988"/>
    <s v="For each site, update only one form.(form submitted twice)"/>
  </r>
  <r>
    <x v="14"/>
    <s v="kuljeet_st"/>
    <x v="2"/>
    <s v="Enterprise"/>
    <s v="O&amp;M"/>
    <s v="P"/>
    <s v="7.73"/>
    <s v="1"/>
    <x v="0"/>
    <s v="Filled 1 Form (Meeting Form)"/>
    <s v="Meet 1 people(Name- Kamal Sharma)"/>
    <s v="Customer Visit(ILL req)"/>
    <s v="B2A/93/JA, Ganesh Nagar-Block A, Tilak Nagar, Delhi"/>
    <s v="28.634601, 77.0903607"/>
    <s v="NA"/>
  </r>
  <r>
    <x v="15"/>
    <s v="satish_st"/>
    <x v="3"/>
    <s v="Mobility"/>
    <s v="Business"/>
    <s v="P"/>
    <s v="27.67"/>
    <n v="0"/>
    <x v="1"/>
    <s v="Did not filled the form"/>
    <s v="WFO"/>
    <s v="WFO"/>
    <s v="Bengaluru Office"/>
    <s v="12.971302, 77.61276467"/>
    <s v="Need to fill the form "/>
  </r>
  <r>
    <x v="16"/>
    <s v="irrappa_st"/>
    <x v="3"/>
    <s v="Mobility"/>
    <s v="O&amp;M"/>
    <s v="P"/>
    <s v="3.3"/>
    <n v="0"/>
    <x v="0"/>
    <s v="Did not filled the form"/>
    <s v="As discussed, Site visit(ST-KAR-MACRO-049)but location not matched as per site latlong.(Approx 3km)"/>
    <s v="EB connection check"/>
    <s v="NV Heights, 54 Kathanur Main Road, Gottigere"/>
    <s v="12.8739, 77.5733"/>
    <s v="Need to fill the form "/>
  </r>
  <r>
    <x v="17"/>
    <s v="suresh_st"/>
    <x v="3"/>
    <s v="Mobility"/>
    <s v="Project"/>
    <s v="P"/>
    <s v="125.64"/>
    <s v="1"/>
    <x v="0"/>
    <s v="Filled 1 Form (Meeting Form)"/>
    <s v="Meet 1 people(Name- kenchaiah)"/>
    <s v="Trying to acquire "/>
    <s v="Ramanagara, Ramanagara, Karnataka,"/>
    <s v="12.735438, 77.275653"/>
    <s v="NA"/>
  </r>
  <r>
    <x v="18"/>
    <s v="niranjan_sts"/>
    <x v="3"/>
    <s v="Mobility"/>
    <s v="SA"/>
    <s v="P"/>
    <s v="69.83"/>
    <s v="2"/>
    <x v="0"/>
    <s v="Filled 2 Form (Meeting Form)"/>
    <s v="Meeting done with owner"/>
    <s v="Trying to acquire "/>
    <s v="East West Building, 13th Cross Road, Appareddy Palya, Indira Nagar, Bengaluru 560038"/>
    <s v="12.9712393, 77.6351524"/>
    <s v="NA"/>
  </r>
  <r>
    <x v="19"/>
    <s v="sibayan_st"/>
    <x v="4"/>
    <s v="Enterprise"/>
    <s v="O&amp;M"/>
    <s v="P"/>
    <s v="28.85"/>
    <s v="2"/>
    <x v="0"/>
    <s v="Filled 2 Form (Meeting Form)"/>
    <s v="Meet 1 people(Puspendu Bhattacharya, Director, Meet 1 people(Mr Das,IT Manager)"/>
    <s v="IBS-Funnel Discussion(Leads Received Two)"/>
    <s v="Kolkata"/>
    <s v="22.514912,88.379435"/>
    <s v="NA"/>
  </r>
  <r>
    <x v="20"/>
    <s v="abhiman_st"/>
    <x v="4"/>
    <s v="Mobility"/>
    <s v="Business"/>
    <s v="P"/>
    <s v="23.48"/>
    <s v="2"/>
    <x v="0"/>
    <s v="Filled 2 Form (Meeting Form)"/>
    <s v="Meet 1 people(Owner, Director, Meet 1 people(Principal)"/>
    <s v="Meeting in discussion with CP regarding business"/>
    <s v="Co2, Rajdanga Main Road, Sector E, East Kolkata Township"/>
    <s v="22.514060, 88.3941041"/>
    <s v="NA"/>
  </r>
  <r>
    <x v="21"/>
    <s v="arsadur_st"/>
    <x v="4"/>
    <s v="Mobility"/>
    <s v="O&amp;M"/>
    <s v="P"/>
    <s v="5.6"/>
    <n v="0"/>
    <x v="4"/>
    <s v="NA"/>
    <s v="As discussed, Site visit (ID-VILKOFY26H0076) but location not matched as per site latlong"/>
    <s v="Trying to acquire "/>
    <s v="Bhadaswar Sweets, Polba-Dadpur 712305"/>
    <s v="22.56079, 88.29782"/>
    <s v="Need to fill the form "/>
  </r>
  <r>
    <x v="22"/>
    <s v="badhan_st"/>
    <x v="4"/>
    <s v="Mobility"/>
    <s v="Project"/>
    <s v="P"/>
    <s v="57.58"/>
    <n v="0"/>
    <x v="1"/>
    <s v="NA"/>
    <s v="WFO"/>
    <s v="WFO"/>
    <s v="Kolkata Office"/>
    <s v="22.57295, 88.431080"/>
    <s v="NA"/>
  </r>
  <r>
    <x v="23"/>
    <s v="karim_st"/>
    <x v="4"/>
    <s v="Mobility"/>
    <s v="Project"/>
    <s v="P"/>
    <s v="77.48"/>
    <n v="0"/>
    <x v="1"/>
    <s v="Did not filled the form"/>
    <s v="WFO"/>
    <s v="WFO"/>
    <s v="Kolkata Office"/>
    <s v="22.572928,88.431119"/>
    <s v="Need to fill the form "/>
  </r>
  <r>
    <x v="24"/>
    <s v="dattatray_st"/>
    <x v="5"/>
    <s v="Mobility"/>
    <s v="Business"/>
    <s v="P"/>
    <s v="106.1"/>
    <n v="0"/>
    <x v="0"/>
    <s v="Did not filled the form"/>
    <s v="Meeting in Chakan (Horizon Industrial Park) and Kharadi (AP4 Tower)"/>
    <s v="Business"/>
    <s v="Chakan &amp; Kharadi"/>
    <s v="18.762326, 73.7699335"/>
    <s v="Need to fill the form "/>
  </r>
  <r>
    <x v="25"/>
    <s v="ganeshk_st"/>
    <x v="5"/>
    <s v="Mobility"/>
    <s v="SA"/>
    <s v="P"/>
    <s v="19.13"/>
    <s v="1"/>
    <x v="0"/>
    <s v="Filled 1 Form (OD SURVEY)"/>
    <s v="1-Site visit(ST-MAH-OD-0072)"/>
    <s v="Mains failed, site visit"/>
    <s v="Jaika Restaurant, Sativali Kaman Road, Gokhivare-Dewan and Shah Udyog NGR, Vasai East,"/>
    <s v="19.40743, 72.8521"/>
    <s v="NA"/>
  </r>
  <r>
    <x v="26"/>
    <s v="prabhakar_st"/>
    <x v="5"/>
    <s v="Mobility"/>
    <s v="SA"/>
    <s v="P"/>
    <s v="58.91"/>
    <s v="2"/>
    <x v="0"/>
    <s v="Filled 2 Form (1 Meeting &amp; 1 OD SURVEY)"/>
    <s v="Meet 1 people(Rajesh Sharma, Chairman) &amp; Trying to acquire "/>
    <s v="Meeting regarding Mobility, Trying to acquire "/>
    <s v="8/A, Somwar Peth, Pune 411011"/>
    <s v="18.5215, 73.864908-ID PU1499,  18.52363983, 73.86283696-Maldhakka Chowk relocation"/>
    <s v="NA"/>
  </r>
  <r>
    <x v="27"/>
    <s v="yogesh_naykodi_st"/>
    <x v="5"/>
    <s v="Mobility"/>
    <s v="SA"/>
    <s v="P"/>
    <s v="41.31"/>
    <s v="1"/>
    <x v="0"/>
    <s v="Filled 1 Form (Meeting Form)"/>
    <s v="Meet 1 people(Name- Mr.. shivadhikari)(SiteID-ST-MAH-OD-0031 // M&amp;M - V Yard)"/>
    <s v="Power tapping issue"/>
    <s v="Talawade Chakan Road, Phase 4, Nighoje, Khed"/>
    <s v="18.7288, 73.7992"/>
    <s v="NA"/>
  </r>
  <r>
    <x v="28"/>
    <s v="shabbir_st"/>
    <x v="6"/>
    <s v="Enterprise"/>
    <s v="Business"/>
    <s v="P"/>
    <s v="199.72"/>
    <s v="2"/>
    <x v="0"/>
    <s v="Filled 2 Form (Meeting Form)"/>
    <s v="Meet 1 people(Siddharth Choudhary(Project Manager), Director, Meet 1 people(Makarand Jadhav(Project Manager))"/>
    <s v="IBS survey done"/>
    <s v="Pune"/>
    <s v="18.56875, 73.954760"/>
    <s v="NA"/>
  </r>
  <r>
    <x v="29"/>
    <s v="piyush_st"/>
    <x v="6"/>
    <s v="Mobility"/>
    <s v="Business"/>
    <s v="P"/>
    <s v="63.47"/>
    <n v="0"/>
    <x v="1"/>
    <s v="NA"/>
    <s v="WFO"/>
    <s v="WFO"/>
    <s v="Mumbai Office"/>
    <s v="NA"/>
    <s v="NA"/>
  </r>
  <r>
    <x v="30"/>
    <s v="sunilb_st"/>
    <x v="6"/>
    <s v="Mobility"/>
    <s v="Business"/>
    <s v="P"/>
    <s v="93.19"/>
    <s v="1"/>
    <x v="0"/>
    <s v="Filled 1 Form (Meeting Form)"/>
    <s v="Meet 1 people(Name- Neeraj Raut jayprakash yadav rashmi)"/>
    <s v="Weekly review with oprator"/>
    <s v="Skyline Icon, Marol-Mittal Industrial Estate, Andheri East, Mumbai "/>
    <s v="19.1058415882101, 72.88115949668138"/>
    <s v="Update all remark "/>
  </r>
  <r>
    <x v="31"/>
    <s v="akhilesh_st"/>
    <x v="6"/>
    <s v="Mobility"/>
    <s v="O&amp;M"/>
    <s v="P"/>
    <s v="25.42"/>
    <s v="1"/>
    <x v="0"/>
    <s v="Filled 1 Form (OD Operation)"/>
    <s v="1-Site visit(Raheja residency IBS installation work)"/>
    <s v="Ongoing IBS work"/>
    <s v="Valentine Apartment, D/403/B3, Kurar Village-Pathan Wadi-Dindoshi, Malad East"/>
    <s v="19.178845, 72.874322"/>
    <s v="NA"/>
  </r>
  <r>
    <x v="32"/>
    <s v="ashok_st"/>
    <x v="6"/>
    <s v="Mobility"/>
    <s v="O&amp;M"/>
    <s v="P"/>
    <s v="39.68"/>
    <s v="2"/>
    <x v="0"/>
    <s v="Filled 2 Form (OD Operation)"/>
    <s v="2-Site visit(Raheja residency IBS installation work) &amp; Snehal Garden"/>
    <s v="Ongoing IBS work &amp; Site down"/>
    <s v="Valentine Apartment, D/403/B3, Kurar Village-Pathan Wadi-Dindoshi, Malad East"/>
    <s v="19.178845, 72.874322 &amp; 19.272397, 72.887752(ST_MUM_HPSC_0131)"/>
    <s v="Update all remark"/>
  </r>
  <r>
    <x v="33"/>
    <s v="gopal_st"/>
    <x v="6"/>
    <s v="Mobility"/>
    <s v="O&amp;M"/>
    <s v="P"/>
    <s v="10.22"/>
    <s v="1"/>
    <x v="0"/>
    <s v="Filled 1 Form (OD Operation)"/>
    <s v="1-Site visit(Raheja residency IBS installation work)"/>
    <s v="Ongoing IBS work"/>
    <s v="Valentine Apartment, D/403/B3, Kurar Village-Pathan Wadi-Dindoshi, Malad East"/>
    <s v="19.178845, 72.874322"/>
    <s v="Update all remark"/>
  </r>
  <r>
    <x v="34"/>
    <s v="kishor_st"/>
    <x v="6"/>
    <s v="Mobility"/>
    <s v="O&amp;M"/>
    <s v="P"/>
    <s v="13.43"/>
    <s v="1"/>
    <x v="0"/>
    <s v="Filled 1 Form (OD Operation)"/>
    <s v="1-Site visit(Raheja residency IBS installation work)"/>
    <s v="Ongoing IBS work"/>
    <s v="Valentine Apartment, D/403/B3, Kurar Village-Pathan Wadi-Dindoshi, Malad East"/>
    <s v="19.178845, 72.874322"/>
    <s v="Update all remark"/>
  </r>
  <r>
    <x v="35"/>
    <s v="ratan_st"/>
    <x v="6"/>
    <s v="Mobility"/>
    <s v="O&amp;M"/>
    <s v="P"/>
    <s v="9.49"/>
    <s v="1"/>
    <x v="0"/>
    <s v="Filled 1 Form (OD Operation)"/>
    <s v="1-Site visit(STPL-MUM-OD-M0237)"/>
    <s v="Owner Visit(Site rent not paid)"/>
    <s v="Mahakali Chowk, Sector 4, CBD Belapur, Navi Mumbai"/>
    <s v="19.025526, 73.04222"/>
    <s v="Update all remark"/>
  </r>
  <r>
    <x v="36"/>
    <s v="rupesh_st"/>
    <x v="6"/>
    <s v="Mobility"/>
    <s v="O&amp;M"/>
    <s v="P"/>
    <s v="88.1"/>
    <s v="1"/>
    <x v="0"/>
    <s v="Filled 1 Form (OD Operation)"/>
    <s v="1-Site visit(ST_MUM_HPSC_0149)"/>
    <s v="New site build"/>
    <s v="180 Capt Yashwant Nilkantha Shel Thakar Marg, Nirmal Nagar, Bandra East"/>
    <s v="19.065186, 72.843011"/>
    <s v="Update all remark"/>
  </r>
  <r>
    <x v="37"/>
    <s v="sachin_st"/>
    <x v="6"/>
    <s v="Mobility"/>
    <s v="O&amp;M"/>
    <s v="P"/>
    <s v="42.46"/>
    <n v="0"/>
    <x v="0"/>
    <s v="Did not filled the form"/>
    <s v="1-Site visit(Raheja residency IBS installation work)"/>
    <s v="Ongoing IBS work"/>
    <s v="Valentine Apartment, D/403/B3, Kurar Village-Pathan Wadi-Dindoshi, Malad East"/>
    <s v="19.178845, 72.874322"/>
    <s v="Need to fill the form "/>
  </r>
  <r>
    <x v="38"/>
    <s v="suyog_st"/>
    <x v="6"/>
    <s v="Mobility"/>
    <s v="O&amp;M"/>
    <s v="P"/>
    <s v="50.62"/>
    <s v="1"/>
    <x v="0"/>
    <s v="Filled 1 Form (OD Operation)"/>
    <s v="1-Site visit( Fortis Hospital-Kalyan)"/>
    <s v="Ongoing IBS work"/>
    <s v="Kwality Walls, Bhoiwada-Bhanungr-Bail Bazar, Kalyan"/>
    <s v="19.237353, 73.123467"/>
    <s v="NA"/>
  </r>
  <r>
    <x v="39"/>
    <s v="nilesh_st"/>
    <x v="6"/>
    <s v="Mobility"/>
    <s v="Project"/>
    <s v="P"/>
    <s v="24.37"/>
    <s v="1"/>
    <x v="0"/>
    <s v="Filled 1 Form (OD Operation)"/>
    <s v="1-Site visit(Raheja residency IBS installation work)"/>
    <s v="Ongoing IBS work"/>
    <s v="Valentine Apartment, D/403/B3, Kurar Village-Pathan Wadi-Dindoshi, Malad East"/>
    <s v="19.178845, 72.874322"/>
    <s v="Update all remark"/>
  </r>
  <r>
    <x v="40"/>
    <s v="afsar_st"/>
    <x v="6"/>
    <s v="Mobility"/>
    <s v="SA"/>
    <s v="P"/>
    <s v="28.27"/>
    <s v="4"/>
    <x v="0"/>
    <s v="Filled 4 Form (OD SURVEY)"/>
    <s v="Site Visit(Shree samarth chs)"/>
    <s v="Ongoing tower installation"/>
    <s v="Prideivvakola CHS Limited, Jansmpak Karyalaya Road, Vakola-Ashok NGR-Dmello Compound, Santacruz East, Mumbai 400055"/>
    <s v="19.082862 72.851958"/>
    <s v="For each site, update only one form.(form submitted twice)"/>
  </r>
  <r>
    <x v="41"/>
    <s v="ankush_sts"/>
    <x v="6"/>
    <s v="Mobility"/>
    <s v="SA"/>
    <s v="P"/>
    <s v="28.95"/>
    <s v="3"/>
    <x v="0"/>
    <s v="Filled 3 Form (OD SURVEY)"/>
    <s v="Site Visit(SS870, SS871, SS869)"/>
    <s v="RF Survey"/>
    <s v="7 Vasudev Balwant Phadke Marg, Sector 5, CBD Belapur, Navi Mumbai"/>
    <s v="19.0243 73.0445"/>
    <s v="NA"/>
  </r>
  <r>
    <x v="42"/>
    <s v="ishhanque_st"/>
    <x v="6"/>
    <s v="Mobility"/>
    <s v="SA"/>
    <s v="P"/>
    <s v="44.41"/>
    <s v="1"/>
    <x v="0"/>
    <s v="Filled 1 Form (OD SURVEY)"/>
    <s v="1-Site visit(VIL_FY25_13824)"/>
    <s v="Trying to acquire "/>
    <s v="Ghansoli Main Road, Talavali-Ghansoli Gaon, Ghansoli, Navi Mumbai"/>
    <s v="19.124824, 72.994244"/>
    <s v="NA"/>
  </r>
  <r>
    <x v="43"/>
    <s v="pradeep_st"/>
    <x v="6"/>
    <s v="Mobility"/>
    <s v="SA"/>
    <s v="P"/>
    <s v="67.26"/>
    <s v="2"/>
    <x v="0"/>
    <s v="Filled 2 Form (OD SURVEY)"/>
    <s v="2-Site Visit (Vita bai apt) &amp; (lahu sumruti niwas)"/>
    <s v="share to SP(survey permission given)"/>
    <s v="Shri Sainath Kirana Store, Station Road, Diva West, Thane"/>
    <s v="19.190319 73.039938 &amp; 19.2120146, 73.1147628"/>
    <s v="NA"/>
  </r>
  <r>
    <x v="44"/>
    <s v="sagar_st"/>
    <x v="6"/>
    <s v="Mobility"/>
    <s v="SA"/>
    <s v="P"/>
    <s v="32.18"/>
    <s v="3"/>
    <x v="0"/>
    <s v="Filled 3 Form (Meeting Form)"/>
    <s v="Meet 1 people Mr. Solanki(Owner) , Meet 1 people Chavan(Ex corporator), Mr.Jog sir(Owner)"/>
    <s v="Raf survey done &amp; praposal submitted"/>
    <s v="Milan Hair Dresser, Santacruz Station Road, Railway Clny-Gulab Baug, Santacruz West, Mumbai"/>
    <s v="19.081317,72.841627"/>
    <s v="NA"/>
  </r>
  <r>
    <x v="45"/>
    <s v="sushank_sts"/>
    <x v="6"/>
    <s v="Mobility"/>
    <s v="SA"/>
    <s v="A"/>
    <n v="0"/>
    <n v="0"/>
    <x v="2"/>
    <s v="On Leave"/>
    <s v="_x0009_Confirmed with Jui ma’am — he is on leave, but the leave has not been applied."/>
    <s v="On Leave"/>
    <s v="NA"/>
    <s v="NA"/>
    <s v="NA"/>
  </r>
  <r>
    <x v="46"/>
    <s v="amaan_st"/>
    <x v="7"/>
    <s v="Mobility"/>
    <s v="O&amp;M"/>
    <s v="P"/>
    <s v="9.3"/>
    <s v="1"/>
    <x v="0"/>
    <s v="Filled 1 Form (OD Operation)"/>
    <s v="1-Site visit(ST-UPE-HPSC-007)"/>
    <s v="Fiber issue"/>
    <s v="96, Gwaltoli, Tilak Nagar, Kanpur "/>
    <s v="26.48278, 80.33262"/>
    <s v="NA"/>
  </r>
  <r>
    <x v="47"/>
    <s v="dipanshu_st"/>
    <x v="7"/>
    <s v="Mobility"/>
    <s v="SA"/>
    <s v="P"/>
    <s v="43.27"/>
    <n v="1"/>
    <x v="0"/>
    <s v="Filled 1 Form (Meeting Form)"/>
    <s v="1-Site visit(sanjay Gandhi Postgraduate Institute of Medical Sciences )"/>
    <s v="Ongoing IBS work"/>
    <s v="Raibareli Road, S G P G I, Lucknow 226014"/>
    <s v="26.744023,    80.949560"/>
    <s v="NA"/>
  </r>
  <r>
    <x v="48"/>
    <s v="rajesh_sts"/>
    <x v="8"/>
    <s v="Mobility"/>
    <s v="Business"/>
    <s v="P"/>
    <s v="217.37"/>
    <s v="1"/>
    <x v="0"/>
    <s v="Filled 1 Form (Meeting Form)"/>
    <s v="Meet 1 people(Name- Parichay sir(Planning head))"/>
    <s v="SP validation"/>
    <s v="Meerut"/>
    <s v="NA"/>
    <s v="Update all remark and fill the form on location"/>
  </r>
  <r>
    <x v="49"/>
    <m/>
    <x v="9"/>
    <m/>
    <m/>
    <m/>
    <m/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52FEE-215B-458D-ACE3-2A8B6F8348B7}" name="PivotTable24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63" firstHeaderRow="1" firstDataRow="2" firstDataCol="1"/>
  <pivotFields count="15">
    <pivotField axis="axisRow" showAll="0">
      <items count="51">
        <item x="20"/>
        <item x="3"/>
        <item x="40"/>
        <item x="31"/>
        <item x="46"/>
        <item x="0"/>
        <item x="4"/>
        <item x="41"/>
        <item x="21"/>
        <item x="32"/>
        <item x="22"/>
        <item x="24"/>
        <item x="47"/>
        <item x="8"/>
        <item x="25"/>
        <item x="33"/>
        <item x="16"/>
        <item x="23"/>
        <item x="34"/>
        <item x="14"/>
        <item x="5"/>
        <item x="42"/>
        <item x="39"/>
        <item x="18"/>
        <item x="6"/>
        <item x="29"/>
        <item x="26"/>
        <item x="43"/>
        <item x="9"/>
        <item x="48"/>
        <item x="11"/>
        <item x="35"/>
        <item x="36"/>
        <item x="37"/>
        <item x="44"/>
        <item x="13"/>
        <item x="12"/>
        <item x="1"/>
        <item x="15"/>
        <item x="2"/>
        <item x="28"/>
        <item x="7"/>
        <item x="19"/>
        <item x="30"/>
        <item x="17"/>
        <item x="45"/>
        <item x="38"/>
        <item x="10"/>
        <item x="27"/>
        <item x="49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7">
        <item x="0"/>
        <item x="4"/>
        <item x="2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59">
    <i>
      <x/>
    </i>
    <i r="1">
      <x v="1"/>
    </i>
    <i r="1">
      <x v="5"/>
    </i>
    <i r="1">
      <x v="6"/>
    </i>
    <i r="1">
      <x v="13"/>
    </i>
    <i r="1">
      <x v="20"/>
    </i>
    <i r="1">
      <x v="24"/>
    </i>
    <i r="1">
      <x v="28"/>
    </i>
    <i r="1">
      <x v="37"/>
    </i>
    <i r="1">
      <x v="39"/>
    </i>
    <i r="1">
      <x v="41"/>
    </i>
    <i r="1">
      <x v="47"/>
    </i>
    <i>
      <x v="1"/>
    </i>
    <i r="1">
      <x v="30"/>
    </i>
    <i r="1">
      <x v="35"/>
    </i>
    <i r="1">
      <x v="36"/>
    </i>
    <i>
      <x v="2"/>
    </i>
    <i r="1">
      <x v="19"/>
    </i>
    <i>
      <x v="3"/>
    </i>
    <i r="1">
      <x v="16"/>
    </i>
    <i r="1">
      <x v="23"/>
    </i>
    <i r="1">
      <x v="38"/>
    </i>
    <i r="1">
      <x v="44"/>
    </i>
    <i>
      <x v="4"/>
    </i>
    <i r="1">
      <x/>
    </i>
    <i r="1">
      <x v="8"/>
    </i>
    <i r="1">
      <x v="10"/>
    </i>
    <i r="1">
      <x v="17"/>
    </i>
    <i r="1">
      <x v="42"/>
    </i>
    <i>
      <x v="5"/>
    </i>
    <i r="1">
      <x v="11"/>
    </i>
    <i r="1">
      <x v="14"/>
    </i>
    <i r="1">
      <x v="26"/>
    </i>
    <i r="1">
      <x v="48"/>
    </i>
    <i>
      <x v="6"/>
    </i>
    <i r="1">
      <x v="2"/>
    </i>
    <i r="1">
      <x v="3"/>
    </i>
    <i r="1">
      <x v="7"/>
    </i>
    <i r="1">
      <x v="9"/>
    </i>
    <i r="1">
      <x v="15"/>
    </i>
    <i r="1">
      <x v="18"/>
    </i>
    <i r="1">
      <x v="21"/>
    </i>
    <i r="1">
      <x v="22"/>
    </i>
    <i r="1">
      <x v="25"/>
    </i>
    <i r="1">
      <x v="27"/>
    </i>
    <i r="1">
      <x v="31"/>
    </i>
    <i r="1">
      <x v="32"/>
    </i>
    <i r="1">
      <x v="33"/>
    </i>
    <i r="1">
      <x v="34"/>
    </i>
    <i r="1">
      <x v="40"/>
    </i>
    <i r="1">
      <x v="43"/>
    </i>
    <i r="1">
      <x v="45"/>
    </i>
    <i r="1">
      <x v="46"/>
    </i>
    <i>
      <x v="7"/>
    </i>
    <i r="1">
      <x v="4"/>
    </i>
    <i r="1">
      <x v="12"/>
    </i>
    <i>
      <x v="8"/>
    </i>
    <i r="1">
      <x v="29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alidated Remark" fld="8" subtotal="count" baseField="0" baseItem="0"/>
  </dataFields>
  <formats count="54">
    <format dxfId="215">
      <pivotArea type="all" dataOnly="0" outline="0" fieldPosition="0"/>
    </format>
    <format dxfId="214">
      <pivotArea outline="0" collapsedLevelsAreSubtotals="1" fieldPosition="0"/>
    </format>
    <format dxfId="213">
      <pivotArea type="origin" dataOnly="0" labelOnly="1" outline="0" fieldPosition="0"/>
    </format>
    <format dxfId="212">
      <pivotArea field="8" type="button" dataOnly="0" labelOnly="1" outline="0" axis="axisCol" fieldPosition="0"/>
    </format>
    <format dxfId="211">
      <pivotArea type="topRight" dataOnly="0" labelOnly="1" outline="0" fieldPosition="0"/>
    </format>
    <format dxfId="210">
      <pivotArea field="2" type="button" dataOnly="0" labelOnly="1" outline="0" axis="axisRow" fieldPosition="0"/>
    </format>
    <format dxfId="209">
      <pivotArea dataOnly="0" labelOnly="1" fieldPosition="0">
        <references count="1">
          <reference field="2" count="0"/>
        </references>
      </pivotArea>
    </format>
    <format dxfId="208">
      <pivotArea dataOnly="0" labelOnly="1" grandRow="1" outline="0" fieldPosition="0"/>
    </format>
    <format dxfId="207">
      <pivotArea dataOnly="0" labelOnly="1" fieldPosition="0">
        <references count="2">
          <reference field="0" count="11">
            <x v="1"/>
            <x v="5"/>
            <x v="6"/>
            <x v="13"/>
            <x v="20"/>
            <x v="24"/>
            <x v="28"/>
            <x v="37"/>
            <x v="39"/>
            <x v="41"/>
            <x v="47"/>
          </reference>
          <reference field="2" count="1" selected="0">
            <x v="0"/>
          </reference>
        </references>
      </pivotArea>
    </format>
    <format dxfId="206">
      <pivotArea dataOnly="0" labelOnly="1" fieldPosition="0">
        <references count="2">
          <reference field="0" count="3">
            <x v="30"/>
            <x v="35"/>
            <x v="36"/>
          </reference>
          <reference field="2" count="1" selected="0">
            <x v="1"/>
          </reference>
        </references>
      </pivotArea>
    </format>
    <format dxfId="205">
      <pivotArea dataOnly="0" labelOnly="1" fieldPosition="0">
        <references count="2">
          <reference field="0" count="1">
            <x v="19"/>
          </reference>
          <reference field="2" count="1" selected="0">
            <x v="2"/>
          </reference>
        </references>
      </pivotArea>
    </format>
    <format dxfId="204">
      <pivotArea dataOnly="0" labelOnly="1" fieldPosition="0">
        <references count="2">
          <reference field="0" count="4">
            <x v="16"/>
            <x v="23"/>
            <x v="38"/>
            <x v="44"/>
          </reference>
          <reference field="2" count="1" selected="0">
            <x v="3"/>
          </reference>
        </references>
      </pivotArea>
    </format>
    <format dxfId="203">
      <pivotArea dataOnly="0" labelOnly="1" fieldPosition="0">
        <references count="2">
          <reference field="0" count="5">
            <x v="0"/>
            <x v="8"/>
            <x v="10"/>
            <x v="17"/>
            <x v="42"/>
          </reference>
          <reference field="2" count="1" selected="0">
            <x v="4"/>
          </reference>
        </references>
      </pivotArea>
    </format>
    <format dxfId="202">
      <pivotArea dataOnly="0" labelOnly="1" fieldPosition="0">
        <references count="2">
          <reference field="0" count="4">
            <x v="11"/>
            <x v="14"/>
            <x v="26"/>
            <x v="48"/>
          </reference>
          <reference field="2" count="1" selected="0">
            <x v="5"/>
          </reference>
        </references>
      </pivotArea>
    </format>
    <format dxfId="201">
      <pivotArea dataOnly="0" labelOnly="1" fieldPosition="0">
        <references count="2">
          <reference field="0" count="18">
            <x v="2"/>
            <x v="3"/>
            <x v="7"/>
            <x v="9"/>
            <x v="15"/>
            <x v="18"/>
            <x v="21"/>
            <x v="22"/>
            <x v="25"/>
            <x v="27"/>
            <x v="31"/>
            <x v="32"/>
            <x v="33"/>
            <x v="34"/>
            <x v="40"/>
            <x v="43"/>
            <x v="45"/>
            <x v="46"/>
          </reference>
          <reference field="2" count="1" selected="0">
            <x v="6"/>
          </reference>
        </references>
      </pivotArea>
    </format>
    <format dxfId="200">
      <pivotArea dataOnly="0" labelOnly="1" fieldPosition="0">
        <references count="2">
          <reference field="0" count="2">
            <x v="4"/>
            <x v="12"/>
          </reference>
          <reference field="2" count="1" selected="0">
            <x v="7"/>
          </reference>
        </references>
      </pivotArea>
    </format>
    <format dxfId="199">
      <pivotArea dataOnly="0" labelOnly="1" fieldPosition="0">
        <references count="2">
          <reference field="0" count="1">
            <x v="29"/>
          </reference>
          <reference field="2" count="1" selected="0">
            <x v="8"/>
          </reference>
        </references>
      </pivotArea>
    </format>
    <format dxfId="198">
      <pivotArea dataOnly="0" labelOnly="1" fieldPosition="0">
        <references count="1">
          <reference field="8" count="0"/>
        </references>
      </pivotArea>
    </format>
    <format dxfId="197">
      <pivotArea dataOnly="0" labelOnly="1" grandCol="1" outline="0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8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2" type="button" dataOnly="0" labelOnly="1" outline="0" axis="axisRow" fieldPosition="0"/>
    </format>
    <format dxfId="190">
      <pivotArea dataOnly="0" labelOnly="1" fieldPosition="0">
        <references count="1">
          <reference field="2" count="0"/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2">
          <reference field="0" count="11">
            <x v="1"/>
            <x v="5"/>
            <x v="6"/>
            <x v="13"/>
            <x v="20"/>
            <x v="24"/>
            <x v="28"/>
            <x v="37"/>
            <x v="39"/>
            <x v="41"/>
            <x v="47"/>
          </reference>
          <reference field="2" count="1" selected="0">
            <x v="0"/>
          </reference>
        </references>
      </pivotArea>
    </format>
    <format dxfId="187">
      <pivotArea dataOnly="0" labelOnly="1" fieldPosition="0">
        <references count="2">
          <reference field="0" count="3">
            <x v="30"/>
            <x v="35"/>
            <x v="36"/>
          </reference>
          <reference field="2" count="1" selected="0">
            <x v="1"/>
          </reference>
        </references>
      </pivotArea>
    </format>
    <format dxfId="186">
      <pivotArea dataOnly="0" labelOnly="1" fieldPosition="0">
        <references count="2">
          <reference field="0" count="1">
            <x v="19"/>
          </reference>
          <reference field="2" count="1" selected="0">
            <x v="2"/>
          </reference>
        </references>
      </pivotArea>
    </format>
    <format dxfId="185">
      <pivotArea dataOnly="0" labelOnly="1" fieldPosition="0">
        <references count="2">
          <reference field="0" count="4">
            <x v="16"/>
            <x v="23"/>
            <x v="38"/>
            <x v="44"/>
          </reference>
          <reference field="2" count="1" selected="0">
            <x v="3"/>
          </reference>
        </references>
      </pivotArea>
    </format>
    <format dxfId="184">
      <pivotArea dataOnly="0" labelOnly="1" fieldPosition="0">
        <references count="2">
          <reference field="0" count="5">
            <x v="0"/>
            <x v="8"/>
            <x v="10"/>
            <x v="17"/>
            <x v="42"/>
          </reference>
          <reference field="2" count="1" selected="0">
            <x v="4"/>
          </reference>
        </references>
      </pivotArea>
    </format>
    <format dxfId="183">
      <pivotArea dataOnly="0" labelOnly="1" fieldPosition="0">
        <references count="2">
          <reference field="0" count="4">
            <x v="11"/>
            <x v="14"/>
            <x v="26"/>
            <x v="48"/>
          </reference>
          <reference field="2" count="1" selected="0">
            <x v="5"/>
          </reference>
        </references>
      </pivotArea>
    </format>
    <format dxfId="182">
      <pivotArea dataOnly="0" labelOnly="1" fieldPosition="0">
        <references count="2">
          <reference field="0" count="18">
            <x v="2"/>
            <x v="3"/>
            <x v="7"/>
            <x v="9"/>
            <x v="15"/>
            <x v="18"/>
            <x v="21"/>
            <x v="22"/>
            <x v="25"/>
            <x v="27"/>
            <x v="31"/>
            <x v="32"/>
            <x v="33"/>
            <x v="34"/>
            <x v="40"/>
            <x v="43"/>
            <x v="45"/>
            <x v="46"/>
          </reference>
          <reference field="2" count="1" selected="0">
            <x v="6"/>
          </reference>
        </references>
      </pivotArea>
    </format>
    <format dxfId="181">
      <pivotArea dataOnly="0" labelOnly="1" fieldPosition="0">
        <references count="2">
          <reference field="0" count="2">
            <x v="4"/>
            <x v="12"/>
          </reference>
          <reference field="2" count="1" selected="0">
            <x v="7"/>
          </reference>
        </references>
      </pivotArea>
    </format>
    <format dxfId="180">
      <pivotArea dataOnly="0" labelOnly="1" fieldPosition="0">
        <references count="2">
          <reference field="0" count="1">
            <x v="29"/>
          </reference>
          <reference field="2" count="1" selected="0">
            <x v="8"/>
          </reference>
        </references>
      </pivotArea>
    </format>
    <format dxfId="179">
      <pivotArea dataOnly="0" labelOnly="1" fieldPosition="0">
        <references count="1">
          <reference field="8" count="0"/>
        </references>
      </pivotArea>
    </format>
    <format dxfId="178">
      <pivotArea dataOnly="0" labelOnly="1" grandCol="1" outline="0" fieldPosition="0"/>
    </format>
    <format dxfId="177">
      <pivotArea collapsedLevelsAreSubtotals="1" fieldPosition="0">
        <references count="1">
          <reference field="2" count="1">
            <x v="0"/>
          </reference>
        </references>
      </pivotArea>
    </format>
    <format dxfId="176">
      <pivotArea dataOnly="0" labelOnly="1" fieldPosition="0">
        <references count="1">
          <reference field="2" count="1">
            <x v="0"/>
          </reference>
        </references>
      </pivotArea>
    </format>
    <format dxfId="175">
      <pivotArea collapsedLevelsAreSubtotals="1" fieldPosition="0">
        <references count="1">
          <reference field="2" count="1">
            <x v="1"/>
          </reference>
        </references>
      </pivotArea>
    </format>
    <format dxfId="174">
      <pivotArea dataOnly="0" labelOnly="1" fieldPosition="0">
        <references count="1">
          <reference field="2" count="1">
            <x v="1"/>
          </reference>
        </references>
      </pivotArea>
    </format>
    <format dxfId="173">
      <pivotArea collapsedLevelsAreSubtotals="1" fieldPosition="0">
        <references count="1">
          <reference field="2" count="1">
            <x v="3"/>
          </reference>
        </references>
      </pivotArea>
    </format>
    <format dxfId="172">
      <pivotArea dataOnly="0" labelOnly="1" fieldPosition="0">
        <references count="1">
          <reference field="2" count="1">
            <x v="3"/>
          </reference>
        </references>
      </pivotArea>
    </format>
    <format dxfId="171">
      <pivotArea collapsedLevelsAreSubtotals="1" fieldPosition="0">
        <references count="1">
          <reference field="2" count="1">
            <x v="4"/>
          </reference>
        </references>
      </pivotArea>
    </format>
    <format dxfId="170">
      <pivotArea dataOnly="0" labelOnly="1" fieldPosition="0">
        <references count="1">
          <reference field="2" count="1">
            <x v="4"/>
          </reference>
        </references>
      </pivotArea>
    </format>
    <format dxfId="169">
      <pivotArea collapsedLevelsAreSubtotals="1" fieldPosition="0">
        <references count="1">
          <reference field="2" count="1">
            <x v="5"/>
          </reference>
        </references>
      </pivotArea>
    </format>
    <format dxfId="168">
      <pivotArea dataOnly="0" labelOnly="1" fieldPosition="0">
        <references count="1">
          <reference field="2" count="1">
            <x v="5"/>
          </reference>
        </references>
      </pivotArea>
    </format>
    <format dxfId="167">
      <pivotArea collapsedLevelsAreSubtotals="1" fieldPosition="0">
        <references count="1">
          <reference field="2" count="1">
            <x v="6"/>
          </reference>
        </references>
      </pivotArea>
    </format>
    <format dxfId="166">
      <pivotArea dataOnly="0" labelOnly="1" fieldPosition="0">
        <references count="1">
          <reference field="2" count="1">
            <x v="6"/>
          </reference>
        </references>
      </pivotArea>
    </format>
    <format dxfId="165">
      <pivotArea collapsedLevelsAreSubtotals="1" fieldPosition="0">
        <references count="1">
          <reference field="2" count="1">
            <x v="7"/>
          </reference>
        </references>
      </pivotArea>
    </format>
    <format dxfId="164">
      <pivotArea dataOnly="0" labelOnly="1" fieldPosition="0">
        <references count="1">
          <reference field="2" count="1">
            <x v="7"/>
          </reference>
        </references>
      </pivotArea>
    </format>
    <format dxfId="163">
      <pivotArea collapsedLevelsAreSubtotals="1" fieldPosition="0">
        <references count="1">
          <reference field="2" count="1">
            <x v="8"/>
          </reference>
        </references>
      </pivotArea>
    </format>
    <format dxfId="162">
      <pivotArea dataOnly="0" labelOnly="1" fieldPosition="0">
        <references count="1">
          <reference field="2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16A4-F287-4933-9CFF-72DFF045C5DE}">
  <dimension ref="A2:G63"/>
  <sheetViews>
    <sheetView tabSelected="1" workbookViewId="0">
      <selection activeCell="A2" sqref="A2:G63"/>
    </sheetView>
  </sheetViews>
  <sheetFormatPr defaultRowHeight="14.4" x14ac:dyDescent="0.3"/>
  <cols>
    <col min="1" max="1" width="26.44140625" bestFit="1" customWidth="1"/>
    <col min="2" max="2" width="20.44140625" customWidth="1"/>
    <col min="3" max="3" width="14.88671875" customWidth="1"/>
    <col min="4" max="4" width="13.88671875" customWidth="1"/>
    <col min="5" max="5" width="10" customWidth="1"/>
    <col min="6" max="6" width="10.6640625" customWidth="1"/>
    <col min="7" max="7" width="13.6640625" customWidth="1"/>
    <col min="8" max="8" width="10.5546875" bestFit="1" customWidth="1"/>
  </cols>
  <sheetData>
    <row r="2" spans="1:7" x14ac:dyDescent="0.3">
      <c r="A2" s="32" t="s">
        <v>293</v>
      </c>
      <c r="B2" s="32"/>
      <c r="C2" s="32"/>
      <c r="D2" s="32"/>
      <c r="E2" s="32"/>
      <c r="F2" s="32"/>
      <c r="G2" s="32"/>
    </row>
    <row r="3" spans="1:7" x14ac:dyDescent="0.3">
      <c r="A3" s="28" t="s">
        <v>292</v>
      </c>
      <c r="B3" s="28" t="s">
        <v>291</v>
      </c>
      <c r="C3" s="1"/>
      <c r="D3" s="1"/>
      <c r="E3" s="1"/>
      <c r="F3" s="1"/>
      <c r="G3" s="1"/>
    </row>
    <row r="4" spans="1:7" x14ac:dyDescent="0.3">
      <c r="A4" s="28" t="s">
        <v>289</v>
      </c>
      <c r="B4" s="1" t="s">
        <v>153</v>
      </c>
      <c r="C4" s="1" t="s">
        <v>140</v>
      </c>
      <c r="D4" s="1" t="s">
        <v>121</v>
      </c>
      <c r="E4" s="1" t="s">
        <v>155</v>
      </c>
      <c r="F4" s="1" t="s">
        <v>145</v>
      </c>
      <c r="G4" s="1" t="s">
        <v>290</v>
      </c>
    </row>
    <row r="5" spans="1:7" x14ac:dyDescent="0.3">
      <c r="A5" s="30" t="s">
        <v>13</v>
      </c>
      <c r="B5" s="31">
        <v>7</v>
      </c>
      <c r="C5" s="31"/>
      <c r="D5" s="31">
        <v>2</v>
      </c>
      <c r="E5" s="31">
        <v>1</v>
      </c>
      <c r="F5" s="31">
        <v>1</v>
      </c>
      <c r="G5" s="31">
        <v>11</v>
      </c>
    </row>
    <row r="6" spans="1:7" x14ac:dyDescent="0.3">
      <c r="A6" s="1" t="s">
        <v>11</v>
      </c>
      <c r="B6" s="29"/>
      <c r="C6" s="29"/>
      <c r="D6" s="29">
        <v>1</v>
      </c>
      <c r="E6" s="29"/>
      <c r="F6" s="29"/>
      <c r="G6" s="29">
        <v>1</v>
      </c>
    </row>
    <row r="7" spans="1:7" x14ac:dyDescent="0.3">
      <c r="A7" s="1" t="s">
        <v>25</v>
      </c>
      <c r="B7" s="29">
        <v>1</v>
      </c>
      <c r="C7" s="29"/>
      <c r="D7" s="29"/>
      <c r="E7" s="29"/>
      <c r="F7" s="29"/>
      <c r="G7" s="29">
        <v>1</v>
      </c>
    </row>
    <row r="8" spans="1:7" x14ac:dyDescent="0.3">
      <c r="A8" s="1" t="s">
        <v>27</v>
      </c>
      <c r="B8" s="29">
        <v>1</v>
      </c>
      <c r="C8" s="29"/>
      <c r="D8" s="29"/>
      <c r="E8" s="29"/>
      <c r="F8" s="29"/>
      <c r="G8" s="29">
        <v>1</v>
      </c>
    </row>
    <row r="9" spans="1:7" x14ac:dyDescent="0.3">
      <c r="A9" s="1" t="s">
        <v>42</v>
      </c>
      <c r="B9" s="29">
        <v>1</v>
      </c>
      <c r="C9" s="29"/>
      <c r="D9" s="29"/>
      <c r="E9" s="29"/>
      <c r="F9" s="29"/>
      <c r="G9" s="29">
        <v>1</v>
      </c>
    </row>
    <row r="10" spans="1:7" x14ac:dyDescent="0.3">
      <c r="A10" s="1" t="s">
        <v>58</v>
      </c>
      <c r="B10" s="29"/>
      <c r="C10" s="29"/>
      <c r="D10" s="29"/>
      <c r="E10" s="29">
        <v>1</v>
      </c>
      <c r="F10" s="29"/>
      <c r="G10" s="29">
        <v>1</v>
      </c>
    </row>
    <row r="11" spans="1:7" x14ac:dyDescent="0.3">
      <c r="A11" s="1" t="s">
        <v>66</v>
      </c>
      <c r="B11" s="29"/>
      <c r="C11" s="29"/>
      <c r="D11" s="29">
        <v>1</v>
      </c>
      <c r="E11" s="29"/>
      <c r="F11" s="29"/>
      <c r="G11" s="29">
        <v>1</v>
      </c>
    </row>
    <row r="12" spans="1:7" x14ac:dyDescent="0.3">
      <c r="A12" s="1" t="s">
        <v>74</v>
      </c>
      <c r="B12" s="29">
        <v>1</v>
      </c>
      <c r="C12" s="29"/>
      <c r="D12" s="29"/>
      <c r="E12" s="29"/>
      <c r="F12" s="29"/>
      <c r="G12" s="29">
        <v>1</v>
      </c>
    </row>
    <row r="13" spans="1:7" x14ac:dyDescent="0.3">
      <c r="A13" s="1" t="s">
        <v>95</v>
      </c>
      <c r="B13" s="29">
        <v>1</v>
      </c>
      <c r="C13" s="29"/>
      <c r="D13" s="29"/>
      <c r="E13" s="29"/>
      <c r="F13" s="29"/>
      <c r="G13" s="29">
        <v>1</v>
      </c>
    </row>
    <row r="14" spans="1:7" x14ac:dyDescent="0.3">
      <c r="A14" s="1" t="s">
        <v>99</v>
      </c>
      <c r="B14" s="29"/>
      <c r="C14" s="29"/>
      <c r="D14" s="29"/>
      <c r="E14" s="29"/>
      <c r="F14" s="29">
        <v>1</v>
      </c>
      <c r="G14" s="29">
        <v>1</v>
      </c>
    </row>
    <row r="15" spans="1:7" x14ac:dyDescent="0.3">
      <c r="A15" s="1" t="s">
        <v>105</v>
      </c>
      <c r="B15" s="29">
        <v>1</v>
      </c>
      <c r="C15" s="29"/>
      <c r="D15" s="29"/>
      <c r="E15" s="29"/>
      <c r="F15" s="29"/>
      <c r="G15" s="29">
        <v>1</v>
      </c>
    </row>
    <row r="16" spans="1:7" x14ac:dyDescent="0.3">
      <c r="A16" s="1" t="s">
        <v>117</v>
      </c>
      <c r="B16" s="29">
        <v>1</v>
      </c>
      <c r="C16" s="29"/>
      <c r="D16" s="29"/>
      <c r="E16" s="29"/>
      <c r="F16" s="29"/>
      <c r="G16" s="29">
        <v>1</v>
      </c>
    </row>
    <row r="17" spans="1:7" x14ac:dyDescent="0.3">
      <c r="A17" s="30" t="s">
        <v>81</v>
      </c>
      <c r="B17" s="31">
        <v>3</v>
      </c>
      <c r="C17" s="31"/>
      <c r="D17" s="31"/>
      <c r="E17" s="31"/>
      <c r="F17" s="31"/>
      <c r="G17" s="31">
        <v>3</v>
      </c>
    </row>
    <row r="18" spans="1:7" x14ac:dyDescent="0.3">
      <c r="A18" s="1" t="s">
        <v>79</v>
      </c>
      <c r="B18" s="29">
        <v>1</v>
      </c>
      <c r="C18" s="29"/>
      <c r="D18" s="29"/>
      <c r="E18" s="29"/>
      <c r="F18" s="29"/>
      <c r="G18" s="29">
        <v>1</v>
      </c>
    </row>
    <row r="19" spans="1:7" x14ac:dyDescent="0.3">
      <c r="A19" s="1" t="s">
        <v>90</v>
      </c>
      <c r="B19" s="29">
        <v>1</v>
      </c>
      <c r="C19" s="29"/>
      <c r="D19" s="29"/>
      <c r="E19" s="29"/>
      <c r="F19" s="29"/>
      <c r="G19" s="29">
        <v>1</v>
      </c>
    </row>
    <row r="20" spans="1:7" x14ac:dyDescent="0.3">
      <c r="A20" s="1" t="s">
        <v>92</v>
      </c>
      <c r="B20" s="29">
        <v>1</v>
      </c>
      <c r="C20" s="29"/>
      <c r="D20" s="29"/>
      <c r="E20" s="29"/>
      <c r="F20" s="29"/>
      <c r="G20" s="29">
        <v>1</v>
      </c>
    </row>
    <row r="21" spans="1:7" x14ac:dyDescent="0.3">
      <c r="A21" s="1" t="s">
        <v>57</v>
      </c>
      <c r="B21" s="29">
        <v>1</v>
      </c>
      <c r="C21" s="29"/>
      <c r="D21" s="29"/>
      <c r="E21" s="29"/>
      <c r="F21" s="29"/>
      <c r="G21" s="29">
        <v>1</v>
      </c>
    </row>
    <row r="22" spans="1:7" x14ac:dyDescent="0.3">
      <c r="A22" s="1" t="s">
        <v>55</v>
      </c>
      <c r="B22" s="29">
        <v>1</v>
      </c>
      <c r="C22" s="29"/>
      <c r="D22" s="29"/>
      <c r="E22" s="29"/>
      <c r="F22" s="29"/>
      <c r="G22" s="29">
        <v>1</v>
      </c>
    </row>
    <row r="23" spans="1:7" x14ac:dyDescent="0.3">
      <c r="A23" s="30" t="s">
        <v>50</v>
      </c>
      <c r="B23" s="31">
        <v>3</v>
      </c>
      <c r="C23" s="31"/>
      <c r="D23" s="31"/>
      <c r="E23" s="31"/>
      <c r="F23" s="31">
        <v>1</v>
      </c>
      <c r="G23" s="31">
        <v>4</v>
      </c>
    </row>
    <row r="24" spans="1:7" x14ac:dyDescent="0.3">
      <c r="A24" s="1" t="s">
        <v>48</v>
      </c>
      <c r="B24" s="29">
        <v>1</v>
      </c>
      <c r="C24" s="29"/>
      <c r="D24" s="29"/>
      <c r="E24" s="29"/>
      <c r="F24" s="29"/>
      <c r="G24" s="29">
        <v>1</v>
      </c>
    </row>
    <row r="25" spans="1:7" x14ac:dyDescent="0.3">
      <c r="A25" s="1" t="s">
        <v>64</v>
      </c>
      <c r="B25" s="29">
        <v>1</v>
      </c>
      <c r="C25" s="29"/>
      <c r="D25" s="29"/>
      <c r="E25" s="29"/>
      <c r="F25" s="29"/>
      <c r="G25" s="29">
        <v>1</v>
      </c>
    </row>
    <row r="26" spans="1:7" x14ac:dyDescent="0.3">
      <c r="A26" s="1" t="s">
        <v>97</v>
      </c>
      <c r="B26" s="29"/>
      <c r="C26" s="29"/>
      <c r="D26" s="29"/>
      <c r="E26" s="29"/>
      <c r="F26" s="29">
        <v>1</v>
      </c>
      <c r="G26" s="29">
        <v>1</v>
      </c>
    </row>
    <row r="27" spans="1:7" x14ac:dyDescent="0.3">
      <c r="A27" s="1" t="s">
        <v>111</v>
      </c>
      <c r="B27" s="29">
        <v>1</v>
      </c>
      <c r="C27" s="29"/>
      <c r="D27" s="29"/>
      <c r="E27" s="29"/>
      <c r="F27" s="29"/>
      <c r="G27" s="29">
        <v>1</v>
      </c>
    </row>
    <row r="28" spans="1:7" x14ac:dyDescent="0.3">
      <c r="A28" s="30" t="s">
        <v>10</v>
      </c>
      <c r="B28" s="31">
        <v>2</v>
      </c>
      <c r="C28" s="31">
        <v>1</v>
      </c>
      <c r="D28" s="31"/>
      <c r="E28" s="31"/>
      <c r="F28" s="31">
        <v>2</v>
      </c>
      <c r="G28" s="31">
        <v>5</v>
      </c>
    </row>
    <row r="29" spans="1:7" x14ac:dyDescent="0.3">
      <c r="A29" s="1" t="s">
        <v>8</v>
      </c>
      <c r="B29" s="29">
        <v>1</v>
      </c>
      <c r="C29" s="29"/>
      <c r="D29" s="29"/>
      <c r="E29" s="29"/>
      <c r="F29" s="29"/>
      <c r="G29" s="29">
        <v>1</v>
      </c>
    </row>
    <row r="30" spans="1:7" x14ac:dyDescent="0.3">
      <c r="A30" s="1" t="s">
        <v>31</v>
      </c>
      <c r="B30" s="29"/>
      <c r="C30" s="29">
        <v>1</v>
      </c>
      <c r="D30" s="29"/>
      <c r="E30" s="29"/>
      <c r="F30" s="29"/>
      <c r="G30" s="29">
        <v>1</v>
      </c>
    </row>
    <row r="31" spans="1:7" x14ac:dyDescent="0.3">
      <c r="A31" s="1" t="s">
        <v>35</v>
      </c>
      <c r="B31" s="29"/>
      <c r="C31" s="29"/>
      <c r="D31" s="29"/>
      <c r="E31" s="29"/>
      <c r="F31" s="29">
        <v>1</v>
      </c>
      <c r="G31" s="29">
        <v>1</v>
      </c>
    </row>
    <row r="32" spans="1:7" x14ac:dyDescent="0.3">
      <c r="A32" s="1" t="s">
        <v>51</v>
      </c>
      <c r="B32" s="29"/>
      <c r="C32" s="29"/>
      <c r="D32" s="29"/>
      <c r="E32" s="29"/>
      <c r="F32" s="29">
        <v>1</v>
      </c>
      <c r="G32" s="29">
        <v>1</v>
      </c>
    </row>
    <row r="33" spans="1:7" x14ac:dyDescent="0.3">
      <c r="A33" s="1" t="s">
        <v>107</v>
      </c>
      <c r="B33" s="29">
        <v>1</v>
      </c>
      <c r="C33" s="29"/>
      <c r="D33" s="29"/>
      <c r="E33" s="29"/>
      <c r="F33" s="29"/>
      <c r="G33" s="29">
        <v>1</v>
      </c>
    </row>
    <row r="34" spans="1:7" x14ac:dyDescent="0.3">
      <c r="A34" s="30" t="s">
        <v>39</v>
      </c>
      <c r="B34" s="31">
        <v>4</v>
      </c>
      <c r="C34" s="31"/>
      <c r="D34" s="31"/>
      <c r="E34" s="31"/>
      <c r="F34" s="31"/>
      <c r="G34" s="31">
        <v>4</v>
      </c>
    </row>
    <row r="35" spans="1:7" x14ac:dyDescent="0.3">
      <c r="A35" s="1" t="s">
        <v>37</v>
      </c>
      <c r="B35" s="29">
        <v>1</v>
      </c>
      <c r="C35" s="29"/>
      <c r="D35" s="29"/>
      <c r="E35" s="29"/>
      <c r="F35" s="29"/>
      <c r="G35" s="29">
        <v>1</v>
      </c>
    </row>
    <row r="36" spans="1:7" x14ac:dyDescent="0.3">
      <c r="A36" s="1" t="s">
        <v>44</v>
      </c>
      <c r="B36" s="29">
        <v>1</v>
      </c>
      <c r="C36" s="29"/>
      <c r="D36" s="29"/>
      <c r="E36" s="29"/>
      <c r="F36" s="29"/>
      <c r="G36" s="29">
        <v>1</v>
      </c>
    </row>
    <row r="37" spans="1:7" x14ac:dyDescent="0.3">
      <c r="A37" s="1" t="s">
        <v>70</v>
      </c>
      <c r="B37" s="29">
        <v>1</v>
      </c>
      <c r="C37" s="29"/>
      <c r="D37" s="29"/>
      <c r="E37" s="29"/>
      <c r="F37" s="29"/>
      <c r="G37" s="29">
        <v>1</v>
      </c>
    </row>
    <row r="38" spans="1:7" x14ac:dyDescent="0.3">
      <c r="A38" s="1" t="s">
        <v>119</v>
      </c>
      <c r="B38" s="29">
        <v>1</v>
      </c>
      <c r="C38" s="29"/>
      <c r="D38" s="29"/>
      <c r="E38" s="29"/>
      <c r="F38" s="29"/>
      <c r="G38" s="29">
        <v>1</v>
      </c>
    </row>
    <row r="39" spans="1:7" x14ac:dyDescent="0.3">
      <c r="A39" s="30" t="s">
        <v>16</v>
      </c>
      <c r="B39" s="31">
        <v>16</v>
      </c>
      <c r="C39" s="31"/>
      <c r="D39" s="31">
        <v>1</v>
      </c>
      <c r="E39" s="31"/>
      <c r="F39" s="31">
        <v>1</v>
      </c>
      <c r="G39" s="31">
        <v>18</v>
      </c>
    </row>
    <row r="40" spans="1:7" x14ac:dyDescent="0.3">
      <c r="A40" s="1" t="s">
        <v>14</v>
      </c>
      <c r="B40" s="29">
        <v>1</v>
      </c>
      <c r="C40" s="29"/>
      <c r="D40" s="29"/>
      <c r="E40" s="29"/>
      <c r="F40" s="29"/>
      <c r="G40" s="29">
        <v>1</v>
      </c>
    </row>
    <row r="41" spans="1:7" x14ac:dyDescent="0.3">
      <c r="A41" s="1" t="s">
        <v>18</v>
      </c>
      <c r="B41" s="29">
        <v>1</v>
      </c>
      <c r="C41" s="29"/>
      <c r="D41" s="29"/>
      <c r="E41" s="29"/>
      <c r="F41" s="29"/>
      <c r="G41" s="29">
        <v>1</v>
      </c>
    </row>
    <row r="42" spans="1:7" x14ac:dyDescent="0.3">
      <c r="A42" s="1" t="s">
        <v>29</v>
      </c>
      <c r="B42" s="29">
        <v>1</v>
      </c>
      <c r="C42" s="29"/>
      <c r="D42" s="29"/>
      <c r="E42" s="29"/>
      <c r="F42" s="29"/>
      <c r="G42" s="29">
        <v>1</v>
      </c>
    </row>
    <row r="43" spans="1:7" x14ac:dyDescent="0.3">
      <c r="A43" s="1" t="s">
        <v>33</v>
      </c>
      <c r="B43" s="29">
        <v>1</v>
      </c>
      <c r="C43" s="29"/>
      <c r="D43" s="29"/>
      <c r="E43" s="29"/>
      <c r="F43" s="29"/>
      <c r="G43" s="29">
        <v>1</v>
      </c>
    </row>
    <row r="44" spans="1:7" x14ac:dyDescent="0.3">
      <c r="A44" s="1" t="s">
        <v>46</v>
      </c>
      <c r="B44" s="29">
        <v>1</v>
      </c>
      <c r="C44" s="29"/>
      <c r="D44" s="29"/>
      <c r="E44" s="29"/>
      <c r="F44" s="29"/>
      <c r="G44" s="29">
        <v>1</v>
      </c>
    </row>
    <row r="45" spans="1:7" x14ac:dyDescent="0.3">
      <c r="A45" s="1" t="s">
        <v>53</v>
      </c>
      <c r="B45" s="29">
        <v>1</v>
      </c>
      <c r="C45" s="29"/>
      <c r="D45" s="29"/>
      <c r="E45" s="29"/>
      <c r="F45" s="29"/>
      <c r="G45" s="29">
        <v>1</v>
      </c>
    </row>
    <row r="46" spans="1:7" x14ac:dyDescent="0.3">
      <c r="A46" s="1" t="s">
        <v>60</v>
      </c>
      <c r="B46" s="29">
        <v>1</v>
      </c>
      <c r="C46" s="29"/>
      <c r="D46" s="29"/>
      <c r="E46" s="29"/>
      <c r="F46" s="29"/>
      <c r="G46" s="29">
        <v>1</v>
      </c>
    </row>
    <row r="47" spans="1:7" x14ac:dyDescent="0.3">
      <c r="A47" s="1" t="s">
        <v>62</v>
      </c>
      <c r="B47" s="29">
        <v>1</v>
      </c>
      <c r="C47" s="29"/>
      <c r="D47" s="29"/>
      <c r="E47" s="29"/>
      <c r="F47" s="29"/>
      <c r="G47" s="29">
        <v>1</v>
      </c>
    </row>
    <row r="48" spans="1:7" x14ac:dyDescent="0.3">
      <c r="A48" s="1" t="s">
        <v>68</v>
      </c>
      <c r="B48" s="29"/>
      <c r="C48" s="29"/>
      <c r="D48" s="29"/>
      <c r="E48" s="29"/>
      <c r="F48" s="29">
        <v>1</v>
      </c>
      <c r="G48" s="29">
        <v>1</v>
      </c>
    </row>
    <row r="49" spans="1:7" x14ac:dyDescent="0.3">
      <c r="A49" s="1" t="s">
        <v>72</v>
      </c>
      <c r="B49" s="29">
        <v>1</v>
      </c>
      <c r="C49" s="29"/>
      <c r="D49" s="29"/>
      <c r="E49" s="29"/>
      <c r="F49" s="29"/>
      <c r="G49" s="29">
        <v>1</v>
      </c>
    </row>
    <row r="50" spans="1:7" x14ac:dyDescent="0.3">
      <c r="A50" s="1" t="s">
        <v>82</v>
      </c>
      <c r="B50" s="29">
        <v>1</v>
      </c>
      <c r="C50" s="29"/>
      <c r="D50" s="29"/>
      <c r="E50" s="29"/>
      <c r="F50" s="29"/>
      <c r="G50" s="29">
        <v>1</v>
      </c>
    </row>
    <row r="51" spans="1:7" x14ac:dyDescent="0.3">
      <c r="A51" s="1" t="s">
        <v>84</v>
      </c>
      <c r="B51" s="29">
        <v>1</v>
      </c>
      <c r="C51" s="29"/>
      <c r="D51" s="29"/>
      <c r="E51" s="29"/>
      <c r="F51" s="29"/>
      <c r="G51" s="29">
        <v>1</v>
      </c>
    </row>
    <row r="52" spans="1:7" x14ac:dyDescent="0.3">
      <c r="A52" s="1" t="s">
        <v>86</v>
      </c>
      <c r="B52" s="29">
        <v>1</v>
      </c>
      <c r="C52" s="29"/>
      <c r="D52" s="29"/>
      <c r="E52" s="29"/>
      <c r="F52" s="29"/>
      <c r="G52" s="29">
        <v>1</v>
      </c>
    </row>
    <row r="53" spans="1:7" x14ac:dyDescent="0.3">
      <c r="A53" s="1" t="s">
        <v>88</v>
      </c>
      <c r="B53" s="29">
        <v>1</v>
      </c>
      <c r="C53" s="29"/>
      <c r="D53" s="29"/>
      <c r="E53" s="29"/>
      <c r="F53" s="29"/>
      <c r="G53" s="29">
        <v>1</v>
      </c>
    </row>
    <row r="54" spans="1:7" x14ac:dyDescent="0.3">
      <c r="A54" s="1" t="s">
        <v>101</v>
      </c>
      <c r="B54" s="29">
        <v>1</v>
      </c>
      <c r="C54" s="29"/>
      <c r="D54" s="29"/>
      <c r="E54" s="29"/>
      <c r="F54" s="29"/>
      <c r="G54" s="29">
        <v>1</v>
      </c>
    </row>
    <row r="55" spans="1:7" x14ac:dyDescent="0.3">
      <c r="A55" s="1" t="s">
        <v>109</v>
      </c>
      <c r="B55" s="29">
        <v>1</v>
      </c>
      <c r="C55" s="29"/>
      <c r="D55" s="29"/>
      <c r="E55" s="29"/>
      <c r="F55" s="29"/>
      <c r="G55" s="29">
        <v>1</v>
      </c>
    </row>
    <row r="56" spans="1:7" x14ac:dyDescent="0.3">
      <c r="A56" s="1" t="s">
        <v>113</v>
      </c>
      <c r="B56" s="29"/>
      <c r="C56" s="29"/>
      <c r="D56" s="29">
        <v>1</v>
      </c>
      <c r="E56" s="29"/>
      <c r="F56" s="29"/>
      <c r="G56" s="29">
        <v>1</v>
      </c>
    </row>
    <row r="57" spans="1:7" x14ac:dyDescent="0.3">
      <c r="A57" s="1" t="s">
        <v>115</v>
      </c>
      <c r="B57" s="29">
        <v>1</v>
      </c>
      <c r="C57" s="29"/>
      <c r="D57" s="29"/>
      <c r="E57" s="29"/>
      <c r="F57" s="29"/>
      <c r="G57" s="29">
        <v>1</v>
      </c>
    </row>
    <row r="58" spans="1:7" x14ac:dyDescent="0.3">
      <c r="A58" s="30" t="s">
        <v>24</v>
      </c>
      <c r="B58" s="31">
        <v>2</v>
      </c>
      <c r="C58" s="31"/>
      <c r="D58" s="31"/>
      <c r="E58" s="31"/>
      <c r="F58" s="31"/>
      <c r="G58" s="31">
        <v>2</v>
      </c>
    </row>
    <row r="59" spans="1:7" x14ac:dyDescent="0.3">
      <c r="A59" s="1" t="s">
        <v>22</v>
      </c>
      <c r="B59" s="29">
        <v>1</v>
      </c>
      <c r="C59" s="29"/>
      <c r="D59" s="29"/>
      <c r="E59" s="29"/>
      <c r="F59" s="29"/>
      <c r="G59" s="29">
        <v>1</v>
      </c>
    </row>
    <row r="60" spans="1:7" x14ac:dyDescent="0.3">
      <c r="A60" s="1" t="s">
        <v>40</v>
      </c>
      <c r="B60" s="29">
        <v>1</v>
      </c>
      <c r="C60" s="29"/>
      <c r="D60" s="29"/>
      <c r="E60" s="29"/>
      <c r="F60" s="29"/>
      <c r="G60" s="29">
        <v>1</v>
      </c>
    </row>
    <row r="61" spans="1:7" x14ac:dyDescent="0.3">
      <c r="A61" s="30" t="s">
        <v>78</v>
      </c>
      <c r="B61" s="31">
        <v>1</v>
      </c>
      <c r="C61" s="31"/>
      <c r="D61" s="31"/>
      <c r="E61" s="31"/>
      <c r="F61" s="31"/>
      <c r="G61" s="31">
        <v>1</v>
      </c>
    </row>
    <row r="62" spans="1:7" x14ac:dyDescent="0.3">
      <c r="A62" s="1" t="s">
        <v>76</v>
      </c>
      <c r="B62" s="29">
        <v>1</v>
      </c>
      <c r="C62" s="29"/>
      <c r="D62" s="29"/>
      <c r="E62" s="29"/>
      <c r="F62" s="29"/>
      <c r="G62" s="29">
        <v>1</v>
      </c>
    </row>
    <row r="63" spans="1:7" x14ac:dyDescent="0.3">
      <c r="A63" s="1" t="s">
        <v>290</v>
      </c>
      <c r="B63" s="29">
        <v>39</v>
      </c>
      <c r="C63" s="29">
        <v>1</v>
      </c>
      <c r="D63" s="29">
        <v>3</v>
      </c>
      <c r="E63" s="29">
        <v>1</v>
      </c>
      <c r="F63" s="29">
        <v>5</v>
      </c>
      <c r="G63" s="29">
        <v>49</v>
      </c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0FA6-BB9B-4082-96E9-6168474ED841}">
  <dimension ref="A1:O50"/>
  <sheetViews>
    <sheetView zoomScale="85" zoomScaleNormal="85" workbookViewId="0">
      <selection sqref="A1:A1048576"/>
    </sheetView>
  </sheetViews>
  <sheetFormatPr defaultColWidth="12.44140625" defaultRowHeight="15.6" x14ac:dyDescent="0.3"/>
  <cols>
    <col min="1" max="1" width="26.109375" style="9" customWidth="1"/>
    <col min="2" max="2" width="21.33203125" style="9" customWidth="1"/>
    <col min="3" max="3" width="12.44140625" style="9" customWidth="1"/>
    <col min="4" max="4" width="18.5546875" style="9" customWidth="1"/>
    <col min="5" max="5" width="10.6640625" style="9" customWidth="1"/>
    <col min="6" max="6" width="13" style="9" customWidth="1"/>
    <col min="7" max="7" width="11.33203125" style="9" customWidth="1"/>
    <col min="8" max="8" width="19.44140625" style="9" customWidth="1"/>
    <col min="9" max="9" width="22.77734375" style="9" bestFit="1" customWidth="1"/>
    <col min="10" max="10" width="37.88671875" style="9" bestFit="1" customWidth="1"/>
    <col min="11" max="11" width="60.44140625" style="9" customWidth="1"/>
    <col min="12" max="12" width="29.44140625" style="9" customWidth="1"/>
    <col min="13" max="13" width="30.88671875" style="9" customWidth="1"/>
    <col min="14" max="14" width="32.5546875" style="9" customWidth="1"/>
    <col min="15" max="15" width="42" style="9" customWidth="1"/>
    <col min="16" max="16384" width="12.44140625" style="9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46118</v>
      </c>
      <c r="G1" s="4" t="s">
        <v>5</v>
      </c>
      <c r="H1" s="4" t="s">
        <v>6</v>
      </c>
      <c r="I1" s="5" t="s">
        <v>122</v>
      </c>
      <c r="J1" s="6" t="s">
        <v>126</v>
      </c>
      <c r="K1" s="7" t="s">
        <v>7</v>
      </c>
      <c r="L1" s="7" t="s">
        <v>123</v>
      </c>
      <c r="M1" s="7" t="s">
        <v>124</v>
      </c>
      <c r="N1" s="7" t="s">
        <v>149</v>
      </c>
      <c r="O1" s="8" t="s">
        <v>125</v>
      </c>
    </row>
    <row r="2" spans="1:15" x14ac:dyDescent="0.3">
      <c r="A2" s="10" t="s">
        <v>25</v>
      </c>
      <c r="B2" s="11" t="s">
        <v>26</v>
      </c>
      <c r="C2" s="11" t="s">
        <v>13</v>
      </c>
      <c r="D2" s="11" t="str">
        <f>VLOOKUP(A2,[1]Data!$A:$J,10,0)</f>
        <v>Enterprise</v>
      </c>
      <c r="E2" s="11" t="str">
        <f>VLOOKUP(A2,[1]Data!$A:$L,12,0)</f>
        <v>O&amp;M</v>
      </c>
      <c r="F2" s="11" t="str">
        <f>VLOOKUP(A2,[2]sheet1!$B:$D,3,0)</f>
        <v>P</v>
      </c>
      <c r="G2" s="12" t="str">
        <f>VLOOKUP(A2,[3]sheet1!$B:$D,3,0)</f>
        <v>98.59</v>
      </c>
      <c r="H2" s="12" t="str">
        <f>VLOOKUP(A2,'[4]Productivity Report'!$A:$C,3,0)</f>
        <v>2</v>
      </c>
      <c r="I2" s="13" t="s">
        <v>153</v>
      </c>
      <c r="J2" s="14" t="s">
        <v>134</v>
      </c>
      <c r="K2" s="13" t="s">
        <v>240</v>
      </c>
      <c r="L2" s="13" t="s">
        <v>239</v>
      </c>
      <c r="M2" s="13" t="s">
        <v>285</v>
      </c>
      <c r="N2" s="13" t="s">
        <v>286</v>
      </c>
      <c r="O2" s="13" t="s">
        <v>194</v>
      </c>
    </row>
    <row r="3" spans="1:15" x14ac:dyDescent="0.3">
      <c r="A3" s="18" t="s">
        <v>95</v>
      </c>
      <c r="B3" s="18" t="s">
        <v>96</v>
      </c>
      <c r="C3" s="11" t="s">
        <v>13</v>
      </c>
      <c r="D3" s="11" t="str">
        <f>VLOOKUP(A3,[1]Data!$A:$J,10,0)</f>
        <v>Enterprise</v>
      </c>
      <c r="E3" s="11" t="str">
        <f>VLOOKUP(A3,[1]Data!$A:$L,12,0)</f>
        <v>O&amp;M</v>
      </c>
      <c r="F3" s="18" t="str">
        <f>VLOOKUP(A3,[2]sheet1!$B:$D,3,0)</f>
        <v>P</v>
      </c>
      <c r="G3" s="13" t="str">
        <f>VLOOKUP(A3,[3]sheet1!$B:$D,3,0)</f>
        <v>73.28</v>
      </c>
      <c r="H3" s="13" t="str">
        <f>VLOOKUP(A3,'[4]Productivity Report'!$A:$C,3,0)</f>
        <v>1</v>
      </c>
      <c r="I3" s="21" t="s">
        <v>153</v>
      </c>
      <c r="J3" s="14" t="s">
        <v>128</v>
      </c>
      <c r="K3" s="21" t="s">
        <v>170</v>
      </c>
      <c r="L3" s="20" t="s">
        <v>171</v>
      </c>
      <c r="M3" s="20" t="s">
        <v>172</v>
      </c>
      <c r="N3" s="20" t="s">
        <v>127</v>
      </c>
      <c r="O3" s="20" t="s">
        <v>174</v>
      </c>
    </row>
    <row r="4" spans="1:15" x14ac:dyDescent="0.3">
      <c r="A4" s="11" t="s">
        <v>99</v>
      </c>
      <c r="B4" s="11" t="s">
        <v>100</v>
      </c>
      <c r="C4" s="11" t="s">
        <v>13</v>
      </c>
      <c r="D4" s="11" t="str">
        <f>VLOOKUP(A4,[1]Data!$A:$J,10,0)</f>
        <v>Mobility</v>
      </c>
      <c r="E4" s="11" t="str">
        <f>VLOOKUP(A4,[1]Data!$A:$L,12,0)</f>
        <v>Business</v>
      </c>
      <c r="F4" s="11" t="str">
        <f>VLOOKUP(A4,[2]sheet1!$B:$D,3,0)</f>
        <v>P</v>
      </c>
      <c r="G4" s="13" t="str">
        <f>VLOOKUP(A4,[3]sheet1!$B:$D,3,0)</f>
        <v>86.25</v>
      </c>
      <c r="H4" s="13">
        <v>0</v>
      </c>
      <c r="I4" s="23" t="s">
        <v>145</v>
      </c>
      <c r="J4" s="14" t="s">
        <v>138</v>
      </c>
      <c r="K4" s="23" t="s">
        <v>145</v>
      </c>
      <c r="L4" s="23" t="s">
        <v>145</v>
      </c>
      <c r="M4" s="13" t="s">
        <v>279</v>
      </c>
      <c r="N4" s="13" t="s">
        <v>278</v>
      </c>
      <c r="O4" s="14" t="s">
        <v>139</v>
      </c>
    </row>
    <row r="5" spans="1:15" x14ac:dyDescent="0.3">
      <c r="A5" s="11" t="s">
        <v>11</v>
      </c>
      <c r="B5" s="11" t="s">
        <v>12</v>
      </c>
      <c r="C5" s="11" t="s">
        <v>13</v>
      </c>
      <c r="D5" s="11" t="str">
        <f>VLOOKUP(A5,[1]Data!$A:$J,10,0)</f>
        <v>Mobility</v>
      </c>
      <c r="E5" s="11" t="str">
        <f>VLOOKUP(A5,[1]Data!$A:$L,12,0)</f>
        <v>O&amp;M</v>
      </c>
      <c r="F5" s="11" t="str">
        <f>VLOOKUP(A5,[2]sheet1!$B:$D,3,0)</f>
        <v>A</v>
      </c>
      <c r="G5" s="13">
        <v>0</v>
      </c>
      <c r="H5" s="13">
        <v>0</v>
      </c>
      <c r="I5" s="15" t="s">
        <v>121</v>
      </c>
      <c r="J5" s="13" t="s">
        <v>121</v>
      </c>
      <c r="K5" s="13" t="s">
        <v>287</v>
      </c>
      <c r="L5" s="15" t="s">
        <v>121</v>
      </c>
      <c r="M5" s="13" t="s">
        <v>127</v>
      </c>
      <c r="N5" s="13" t="s">
        <v>127</v>
      </c>
      <c r="O5" s="13" t="s">
        <v>127</v>
      </c>
    </row>
    <row r="6" spans="1:15" x14ac:dyDescent="0.3">
      <c r="A6" s="18" t="s">
        <v>27</v>
      </c>
      <c r="B6" s="11" t="s">
        <v>28</v>
      </c>
      <c r="C6" s="11" t="s">
        <v>13</v>
      </c>
      <c r="D6" s="11" t="str">
        <f>VLOOKUP(A6,[1]Data!$A:$J,10,0)</f>
        <v>Mobility</v>
      </c>
      <c r="E6" s="11" t="str">
        <f>VLOOKUP(A6,[1]Data!$A:$L,12,0)</f>
        <v>O&amp;M</v>
      </c>
      <c r="F6" s="11" t="str">
        <f>VLOOKUP(A6,[2]sheet1!$B:$D,3,0)</f>
        <v>P</v>
      </c>
      <c r="G6" s="13" t="str">
        <f>VLOOKUP(A6,[3]sheet1!$B:$D,3,0)</f>
        <v>8.32</v>
      </c>
      <c r="H6" s="13" t="str">
        <f>VLOOKUP(A6,'[4]Productivity Report'!$A:$C,3,0)</f>
        <v>1</v>
      </c>
      <c r="I6" s="14" t="s">
        <v>153</v>
      </c>
      <c r="J6" s="14" t="s">
        <v>129</v>
      </c>
      <c r="K6" s="13" t="s">
        <v>193</v>
      </c>
      <c r="L6" s="13" t="s">
        <v>190</v>
      </c>
      <c r="M6" s="13" t="s">
        <v>191</v>
      </c>
      <c r="N6" s="13" t="s">
        <v>192</v>
      </c>
      <c r="O6" s="13" t="s">
        <v>166</v>
      </c>
    </row>
    <row r="7" spans="1:15" x14ac:dyDescent="0.3">
      <c r="A7" s="22" t="s">
        <v>58</v>
      </c>
      <c r="B7" s="11" t="s">
        <v>59</v>
      </c>
      <c r="C7" s="11" t="s">
        <v>13</v>
      </c>
      <c r="D7" s="11" t="s">
        <v>20</v>
      </c>
      <c r="E7" s="11" t="s">
        <v>21</v>
      </c>
      <c r="F7" s="11" t="str">
        <f>VLOOKUP(A7,[2]sheet1!$B:$D,3,0)</f>
        <v>P</v>
      </c>
      <c r="G7" s="13" t="str">
        <f>VLOOKUP(A7,[3]sheet1!$B:$D,3,0)</f>
        <v>0.55</v>
      </c>
      <c r="H7" s="13">
        <v>0</v>
      </c>
      <c r="I7" s="15" t="s">
        <v>155</v>
      </c>
      <c r="J7" s="13" t="s">
        <v>127</v>
      </c>
      <c r="K7" s="15" t="s">
        <v>274</v>
      </c>
      <c r="L7" s="15" t="s">
        <v>155</v>
      </c>
      <c r="M7" s="13" t="s">
        <v>156</v>
      </c>
      <c r="N7" s="17" t="s">
        <v>127</v>
      </c>
      <c r="O7" s="13" t="s">
        <v>127</v>
      </c>
    </row>
    <row r="8" spans="1:15" x14ac:dyDescent="0.3">
      <c r="A8" s="18" t="s">
        <v>66</v>
      </c>
      <c r="B8" s="18" t="s">
        <v>67</v>
      </c>
      <c r="C8" s="18" t="s">
        <v>13</v>
      </c>
      <c r="D8" s="18" t="str">
        <f>VLOOKUP(A8,[1]Data!$A:$J,10,0)</f>
        <v>Mobility</v>
      </c>
      <c r="E8" s="18" t="str">
        <f>VLOOKUP(A8,[1]Data!$A:$L,12,0)</f>
        <v>O&amp;M</v>
      </c>
      <c r="F8" s="18" t="str">
        <f>VLOOKUP(A8,[2]sheet1!$B:$D,3,0)</f>
        <v>A</v>
      </c>
      <c r="G8" s="20">
        <v>0</v>
      </c>
      <c r="H8" s="20">
        <v>0</v>
      </c>
      <c r="I8" s="24" t="s">
        <v>121</v>
      </c>
      <c r="J8" s="24" t="s">
        <v>121</v>
      </c>
      <c r="K8" s="13" t="s">
        <v>287</v>
      </c>
      <c r="L8" s="24" t="s">
        <v>121</v>
      </c>
      <c r="M8" s="20" t="s">
        <v>127</v>
      </c>
      <c r="N8" s="27" t="s">
        <v>127</v>
      </c>
      <c r="O8" s="20" t="s">
        <v>127</v>
      </c>
    </row>
    <row r="9" spans="1:15" x14ac:dyDescent="0.3">
      <c r="A9" s="18" t="s">
        <v>105</v>
      </c>
      <c r="B9" s="18" t="s">
        <v>106</v>
      </c>
      <c r="C9" s="11" t="s">
        <v>13</v>
      </c>
      <c r="D9" s="11" t="str">
        <f>VLOOKUP(A9,[1]Data!$A:$J,10,0)</f>
        <v>Mobility</v>
      </c>
      <c r="E9" s="11" t="str">
        <f>VLOOKUP(A9,[1]Data!$A:$L,12,0)</f>
        <v>O&amp;M</v>
      </c>
      <c r="F9" s="18" t="str">
        <f>VLOOKUP(A9,[2]sheet1!$B:$D,3,0)</f>
        <v>P</v>
      </c>
      <c r="G9" s="13" t="str">
        <f>VLOOKUP(A9,[3]sheet1!$B:$D,3,0)</f>
        <v>28.66</v>
      </c>
      <c r="H9" s="13">
        <v>0</v>
      </c>
      <c r="I9" s="20" t="s">
        <v>153</v>
      </c>
      <c r="J9" s="14" t="s">
        <v>138</v>
      </c>
      <c r="K9" s="20" t="s">
        <v>271</v>
      </c>
      <c r="L9" s="20" t="s">
        <v>272</v>
      </c>
      <c r="M9" s="20" t="s">
        <v>273</v>
      </c>
      <c r="N9" s="20" t="s">
        <v>127</v>
      </c>
      <c r="O9" s="21" t="s">
        <v>139</v>
      </c>
    </row>
    <row r="10" spans="1:15" x14ac:dyDescent="0.3">
      <c r="A10" s="18" t="s">
        <v>42</v>
      </c>
      <c r="B10" s="11" t="s">
        <v>43</v>
      </c>
      <c r="C10" s="11" t="s">
        <v>13</v>
      </c>
      <c r="D10" s="11" t="str">
        <f>VLOOKUP(A10,[1]Data!$A:$J,10,0)</f>
        <v>Mobility</v>
      </c>
      <c r="E10" s="11" t="s">
        <v>17</v>
      </c>
      <c r="F10" s="11" t="str">
        <f>VLOOKUP(A10,[2]sheet1!$B:$D,3,0)</f>
        <v>P</v>
      </c>
      <c r="G10" s="13" t="str">
        <f>VLOOKUP(A10,[3]sheet1!$B:$D,3,0)</f>
        <v>47.2</v>
      </c>
      <c r="H10" s="13" t="str">
        <f>VLOOKUP(A10,'[4]Productivity Report'!$A:$C,3,0)</f>
        <v>1</v>
      </c>
      <c r="I10" s="14" t="s">
        <v>153</v>
      </c>
      <c r="J10" s="14" t="s">
        <v>130</v>
      </c>
      <c r="K10" s="13" t="s">
        <v>210</v>
      </c>
      <c r="L10" s="14" t="s">
        <v>141</v>
      </c>
      <c r="M10" s="13" t="s">
        <v>209</v>
      </c>
      <c r="N10" s="13" t="s">
        <v>208</v>
      </c>
      <c r="O10" s="13" t="s">
        <v>127</v>
      </c>
    </row>
    <row r="11" spans="1:15" x14ac:dyDescent="0.3">
      <c r="A11" s="22" t="s">
        <v>74</v>
      </c>
      <c r="B11" s="11" t="s">
        <v>75</v>
      </c>
      <c r="C11" s="11" t="s">
        <v>13</v>
      </c>
      <c r="D11" s="16" t="s">
        <v>20</v>
      </c>
      <c r="E11" s="11" t="s">
        <v>17</v>
      </c>
      <c r="F11" s="11" t="str">
        <f>VLOOKUP(A11,[2]sheet1!$B:$D,3,0)</f>
        <v>P</v>
      </c>
      <c r="G11" s="13" t="str">
        <f>VLOOKUP(A11,[3]sheet1!$B:$D,3,0)</f>
        <v>68.56</v>
      </c>
      <c r="H11" s="13" t="str">
        <f>VLOOKUP(A11,'[4]Productivity Report'!$A:$C,3,0)</f>
        <v>3</v>
      </c>
      <c r="I11" s="13" t="s">
        <v>153</v>
      </c>
      <c r="J11" s="14" t="s">
        <v>137</v>
      </c>
      <c r="K11" s="14" t="s">
        <v>250</v>
      </c>
      <c r="L11" s="13" t="s">
        <v>248</v>
      </c>
      <c r="M11" s="13" t="s">
        <v>249</v>
      </c>
      <c r="N11" s="13" t="s">
        <v>251</v>
      </c>
      <c r="O11" s="13" t="s">
        <v>127</v>
      </c>
    </row>
    <row r="12" spans="1:15" s="19" customFormat="1" x14ac:dyDescent="0.3">
      <c r="A12" s="18" t="s">
        <v>117</v>
      </c>
      <c r="B12" s="11" t="s">
        <v>118</v>
      </c>
      <c r="C12" s="11" t="s">
        <v>13</v>
      </c>
      <c r="D12" s="11" t="str">
        <f>VLOOKUP(A12,[1]Data!$A:$J,10,0)</f>
        <v>Mobility</v>
      </c>
      <c r="E12" s="11" t="s">
        <v>17</v>
      </c>
      <c r="F12" s="11" t="str">
        <f>VLOOKUP(A12,[2]sheet1!$B:$D,3,0)</f>
        <v>P</v>
      </c>
      <c r="G12" s="13" t="str">
        <f>VLOOKUP(A12,[3]sheet1!$B:$D,3,0)</f>
        <v>128.61</v>
      </c>
      <c r="H12" s="13">
        <v>0</v>
      </c>
      <c r="I12" s="14" t="s">
        <v>153</v>
      </c>
      <c r="J12" s="14" t="s">
        <v>138</v>
      </c>
      <c r="K12" s="13" t="s">
        <v>159</v>
      </c>
      <c r="L12" s="13" t="s">
        <v>186</v>
      </c>
      <c r="M12" s="13" t="s">
        <v>158</v>
      </c>
      <c r="N12" s="13" t="s">
        <v>157</v>
      </c>
      <c r="O12" s="14" t="s">
        <v>139</v>
      </c>
    </row>
    <row r="13" spans="1:15" s="19" customFormat="1" x14ac:dyDescent="0.3">
      <c r="A13" s="18" t="s">
        <v>79</v>
      </c>
      <c r="B13" s="11" t="s">
        <v>80</v>
      </c>
      <c r="C13" s="11" t="s">
        <v>81</v>
      </c>
      <c r="D13" s="11" t="str">
        <f>VLOOKUP(A13,[1]Data!$A:$J,10,0)</f>
        <v>Mobility</v>
      </c>
      <c r="E13" s="11" t="str">
        <f>VLOOKUP(A13,[1]Data!$A:$L,12,0)</f>
        <v>Business</v>
      </c>
      <c r="F13" s="11" t="str">
        <f>VLOOKUP(A13,[2]sheet1!$B:$D,3,0)</f>
        <v>P</v>
      </c>
      <c r="G13" s="13" t="str">
        <f>VLOOKUP(A13,[3]sheet1!$B:$D,3,0)</f>
        <v>42.46</v>
      </c>
      <c r="H13" s="13" t="str">
        <f>VLOOKUP(A13,'[4]Productivity Report'!$A:$C,3,0)</f>
        <v>1</v>
      </c>
      <c r="I13" s="14" t="s">
        <v>153</v>
      </c>
      <c r="J13" s="14" t="s">
        <v>128</v>
      </c>
      <c r="K13" s="14" t="s">
        <v>168</v>
      </c>
      <c r="L13" s="13" t="s">
        <v>203</v>
      </c>
      <c r="M13" s="13" t="s">
        <v>169</v>
      </c>
      <c r="N13" s="13" t="s">
        <v>204</v>
      </c>
      <c r="O13" s="13" t="s">
        <v>127</v>
      </c>
    </row>
    <row r="14" spans="1:15" x14ac:dyDescent="0.3">
      <c r="A14" s="13" t="s">
        <v>92</v>
      </c>
      <c r="B14" s="13" t="s">
        <v>93</v>
      </c>
      <c r="C14" s="11" t="s">
        <v>81</v>
      </c>
      <c r="D14" s="11" t="s">
        <v>20</v>
      </c>
      <c r="E14" s="11" t="s">
        <v>94</v>
      </c>
      <c r="F14" s="11" t="str">
        <f>VLOOKUP(A14,[2]sheet1!$B:$D,3,0)</f>
        <v>P</v>
      </c>
      <c r="G14" s="13" t="str">
        <f>VLOOKUP(A14,[3]sheet1!$B:$D,3,0)</f>
        <v>48.04</v>
      </c>
      <c r="H14" s="13" t="str">
        <f>VLOOKUP(A14,'[4]Productivity Report'!$A:$C,3,0)</f>
        <v>1</v>
      </c>
      <c r="I14" s="14" t="s">
        <v>153</v>
      </c>
      <c r="J14" s="14" t="s">
        <v>130</v>
      </c>
      <c r="K14" s="13" t="s">
        <v>220</v>
      </c>
      <c r="L14" s="14" t="s">
        <v>141</v>
      </c>
      <c r="M14" s="13" t="s">
        <v>218</v>
      </c>
      <c r="N14" s="13" t="s">
        <v>217</v>
      </c>
      <c r="O14" s="13" t="s">
        <v>127</v>
      </c>
    </row>
    <row r="15" spans="1:15" x14ac:dyDescent="0.3">
      <c r="A15" s="22" t="s">
        <v>90</v>
      </c>
      <c r="B15" s="11" t="s">
        <v>91</v>
      </c>
      <c r="C15" s="11" t="s">
        <v>81</v>
      </c>
      <c r="D15" s="11" t="s">
        <v>20</v>
      </c>
      <c r="E15" s="11" t="s">
        <v>17</v>
      </c>
      <c r="F15" s="11" t="str">
        <f>VLOOKUP(A15,[2]sheet1!$B:$D,3,0)</f>
        <v>P</v>
      </c>
      <c r="G15" s="13" t="str">
        <f>VLOOKUP(A15,[3]sheet1!$B:$D,3,0)</f>
        <v>199.08</v>
      </c>
      <c r="H15" s="13" t="str">
        <f>VLOOKUP(A15,'[4]Productivity Report'!$A:$C,3,0)</f>
        <v>3</v>
      </c>
      <c r="I15" s="13" t="s">
        <v>153</v>
      </c>
      <c r="J15" s="14" t="s">
        <v>135</v>
      </c>
      <c r="K15" s="13" t="s">
        <v>270</v>
      </c>
      <c r="L15" s="14" t="s">
        <v>141</v>
      </c>
      <c r="M15" s="13" t="s">
        <v>269</v>
      </c>
      <c r="N15" s="13" t="s">
        <v>268</v>
      </c>
      <c r="O15" s="14" t="s">
        <v>255</v>
      </c>
    </row>
    <row r="16" spans="1:15" x14ac:dyDescent="0.3">
      <c r="A16" s="16" t="s">
        <v>55</v>
      </c>
      <c r="B16" s="16" t="s">
        <v>56</v>
      </c>
      <c r="C16" s="16" t="s">
        <v>57</v>
      </c>
      <c r="D16" s="11" t="str">
        <f>VLOOKUP(A16,[1]Data!$A:$J,10,0)</f>
        <v>Enterprise</v>
      </c>
      <c r="E16" s="11" t="str">
        <f>VLOOKUP(A16,[1]Data!$A:$L,12,0)</f>
        <v>O&amp;M</v>
      </c>
      <c r="F16" s="11" t="str">
        <f>VLOOKUP(A16,[2]sheet1!$B:$D,3,0)</f>
        <v>P</v>
      </c>
      <c r="G16" s="13" t="str">
        <f>VLOOKUP(A16,[3]sheet1!$B:$D,3,0)</f>
        <v>7.73</v>
      </c>
      <c r="H16" s="13" t="str">
        <f>VLOOKUP(A16,'[4]Productivity Report'!$A:$C,3,0)</f>
        <v>1</v>
      </c>
      <c r="I16" s="14" t="s">
        <v>153</v>
      </c>
      <c r="J16" s="14" t="s">
        <v>128</v>
      </c>
      <c r="K16" s="14" t="s">
        <v>164</v>
      </c>
      <c r="L16" s="13" t="s">
        <v>171</v>
      </c>
      <c r="M16" s="13" t="s">
        <v>165</v>
      </c>
      <c r="N16" s="13" t="s">
        <v>284</v>
      </c>
      <c r="O16" s="13" t="s">
        <v>127</v>
      </c>
    </row>
    <row r="17" spans="1:15" x14ac:dyDescent="0.3">
      <c r="A17" s="18" t="s">
        <v>97</v>
      </c>
      <c r="B17" s="18" t="s">
        <v>98</v>
      </c>
      <c r="C17" s="11" t="s">
        <v>50</v>
      </c>
      <c r="D17" s="11" t="str">
        <f>VLOOKUP(A17,[1]Data!$A:$J,10,0)</f>
        <v>Mobility</v>
      </c>
      <c r="E17" s="11" t="str">
        <f>VLOOKUP(A17,[1]Data!$A:$L,12,0)</f>
        <v>Business</v>
      </c>
      <c r="F17" s="18" t="str">
        <f>VLOOKUP(A17,[2]sheet1!$B:$D,3,0)</f>
        <v>P</v>
      </c>
      <c r="G17" s="20" t="str">
        <f>VLOOKUP(A17,[3]sheet1!$B:$D,3,0)</f>
        <v>27.67</v>
      </c>
      <c r="H17" s="20">
        <v>0</v>
      </c>
      <c r="I17" s="25" t="s">
        <v>145</v>
      </c>
      <c r="J17" s="21" t="s">
        <v>138</v>
      </c>
      <c r="K17" s="25" t="s">
        <v>145</v>
      </c>
      <c r="L17" s="25" t="s">
        <v>145</v>
      </c>
      <c r="M17" s="20" t="s">
        <v>276</v>
      </c>
      <c r="N17" s="20" t="s">
        <v>277</v>
      </c>
      <c r="O17" s="21" t="s">
        <v>139</v>
      </c>
    </row>
    <row r="18" spans="1:15" x14ac:dyDescent="0.3">
      <c r="A18" s="18" t="s">
        <v>48</v>
      </c>
      <c r="B18" s="11" t="s">
        <v>49</v>
      </c>
      <c r="C18" s="11" t="s">
        <v>50</v>
      </c>
      <c r="D18" s="11" t="str">
        <f>VLOOKUP(A18,[1]Data!$A:$J,10,0)</f>
        <v>Mobility</v>
      </c>
      <c r="E18" s="11" t="str">
        <f>VLOOKUP(A18,[1]Data!$A:$L,12,0)</f>
        <v>O&amp;M</v>
      </c>
      <c r="F18" s="11" t="str">
        <f>VLOOKUP(A18,[2]sheet1!$B:$D,3,0)</f>
        <v>P</v>
      </c>
      <c r="G18" s="13" t="str">
        <f>VLOOKUP(A18,[3]sheet1!$B:$D,3,0)</f>
        <v>3.3</v>
      </c>
      <c r="H18" s="13">
        <v>0</v>
      </c>
      <c r="I18" s="14" t="s">
        <v>153</v>
      </c>
      <c r="J18" s="14" t="s">
        <v>138</v>
      </c>
      <c r="K18" s="13" t="s">
        <v>151</v>
      </c>
      <c r="L18" s="13" t="s">
        <v>152</v>
      </c>
      <c r="M18" s="13" t="s">
        <v>150</v>
      </c>
      <c r="N18" s="13" t="s">
        <v>148</v>
      </c>
      <c r="O18" s="14" t="s">
        <v>139</v>
      </c>
    </row>
    <row r="19" spans="1:15" x14ac:dyDescent="0.3">
      <c r="A19" s="18" t="s">
        <v>111</v>
      </c>
      <c r="B19" s="11" t="s">
        <v>112</v>
      </c>
      <c r="C19" s="11" t="s">
        <v>50</v>
      </c>
      <c r="D19" s="11" t="str">
        <f>VLOOKUP(A19,[1]Data!$A:$J,10,0)</f>
        <v>Mobility</v>
      </c>
      <c r="E19" s="11" t="str">
        <f>VLOOKUP(A19,[1]Data!$A:$L,12,0)</f>
        <v>Project</v>
      </c>
      <c r="F19" s="11" t="str">
        <f>VLOOKUP(A19,[2]sheet1!$B:$D,3,0)</f>
        <v>P</v>
      </c>
      <c r="G19" s="13" t="str">
        <f>VLOOKUP(A19,[3]sheet1!$B:$D,3,0)</f>
        <v>125.64</v>
      </c>
      <c r="H19" s="13" t="str">
        <f>VLOOKUP(A19,'[4]Productivity Report'!$A:$C,3,0)</f>
        <v>1</v>
      </c>
      <c r="I19" s="14" t="s">
        <v>153</v>
      </c>
      <c r="J19" s="14" t="s">
        <v>128</v>
      </c>
      <c r="K19" s="14" t="s">
        <v>176</v>
      </c>
      <c r="L19" s="14" t="s">
        <v>141</v>
      </c>
      <c r="M19" s="13" t="s">
        <v>178</v>
      </c>
      <c r="N19" s="13" t="s">
        <v>177</v>
      </c>
      <c r="O19" s="13" t="s">
        <v>127</v>
      </c>
    </row>
    <row r="20" spans="1:15" x14ac:dyDescent="0.3">
      <c r="A20" s="13" t="s">
        <v>64</v>
      </c>
      <c r="B20" s="13" t="s">
        <v>65</v>
      </c>
      <c r="C20" s="11" t="s">
        <v>50</v>
      </c>
      <c r="D20" s="11" t="s">
        <v>20</v>
      </c>
      <c r="E20" s="11" t="s">
        <v>17</v>
      </c>
      <c r="F20" s="11" t="str">
        <f>VLOOKUP(A20,[2]sheet1!$B:$D,3,0)</f>
        <v>P</v>
      </c>
      <c r="G20" s="13" t="str">
        <f>VLOOKUP(A20,[3]sheet1!$B:$D,3,0)</f>
        <v>69.83</v>
      </c>
      <c r="H20" s="13" t="str">
        <f>VLOOKUP(A20,'[4]Productivity Report'!$A:$C,3,0)</f>
        <v>2</v>
      </c>
      <c r="I20" s="13" t="s">
        <v>153</v>
      </c>
      <c r="J20" s="14" t="s">
        <v>131</v>
      </c>
      <c r="K20" s="14" t="s">
        <v>229</v>
      </c>
      <c r="L20" s="14" t="s">
        <v>141</v>
      </c>
      <c r="M20" s="13" t="s">
        <v>231</v>
      </c>
      <c r="N20" s="13" t="s">
        <v>230</v>
      </c>
      <c r="O20" s="13" t="s">
        <v>127</v>
      </c>
    </row>
    <row r="21" spans="1:15" x14ac:dyDescent="0.3">
      <c r="A21" s="16" t="s">
        <v>107</v>
      </c>
      <c r="B21" s="16" t="s">
        <v>108</v>
      </c>
      <c r="C21" s="16" t="s">
        <v>10</v>
      </c>
      <c r="D21" s="11" t="str">
        <f>VLOOKUP(A21,[1]Data!$A:$J,10,0)</f>
        <v>Enterprise</v>
      </c>
      <c r="E21" s="11" t="str">
        <f>VLOOKUP(A21,[1]Data!$A:$L,12,0)</f>
        <v>O&amp;M</v>
      </c>
      <c r="F21" s="11" t="str">
        <f>VLOOKUP(A21,[2]sheet1!$B:$D,3,0)</f>
        <v>P</v>
      </c>
      <c r="G21" s="13" t="str">
        <f>VLOOKUP(A21,[3]sheet1!$B:$D,3,0)</f>
        <v>28.85</v>
      </c>
      <c r="H21" s="13" t="str">
        <f>VLOOKUP(A21,'[4]Productivity Report'!$A:$C,3,0)</f>
        <v>2</v>
      </c>
      <c r="I21" s="13" t="s">
        <v>153</v>
      </c>
      <c r="J21" s="14" t="s">
        <v>131</v>
      </c>
      <c r="K21" s="14" t="s">
        <v>236</v>
      </c>
      <c r="L21" s="13" t="s">
        <v>238</v>
      </c>
      <c r="M21" s="13" t="s">
        <v>10</v>
      </c>
      <c r="N21" s="13" t="s">
        <v>237</v>
      </c>
      <c r="O21" s="13" t="s">
        <v>127</v>
      </c>
    </row>
    <row r="22" spans="1:15" x14ac:dyDescent="0.3">
      <c r="A22" s="11" t="s">
        <v>8</v>
      </c>
      <c r="B22" s="11" t="s">
        <v>9</v>
      </c>
      <c r="C22" s="11" t="s">
        <v>10</v>
      </c>
      <c r="D22" s="11" t="str">
        <f>VLOOKUP(A22,[1]Data!$A:$J,10,0)</f>
        <v>Mobility</v>
      </c>
      <c r="E22" s="11" t="str">
        <f>VLOOKUP(A22,[1]Data!$A:$L,12,0)</f>
        <v>Business</v>
      </c>
      <c r="F22" s="11" t="str">
        <f>VLOOKUP(A22,[2]sheet1!$B:$D,3,0)</f>
        <v>P</v>
      </c>
      <c r="G22" s="13" t="str">
        <f>VLOOKUP(A22,[3]sheet1!$B:$D,3,0)</f>
        <v>23.48</v>
      </c>
      <c r="H22" s="13" t="str">
        <f>VLOOKUP(A22,'[4]Productivity Report'!$A:$C,3,0)</f>
        <v>2</v>
      </c>
      <c r="I22" s="13" t="s">
        <v>153</v>
      </c>
      <c r="J22" s="14" t="s">
        <v>131</v>
      </c>
      <c r="K22" s="14" t="s">
        <v>226</v>
      </c>
      <c r="L22" s="13" t="s">
        <v>225</v>
      </c>
      <c r="M22" s="13" t="s">
        <v>227</v>
      </c>
      <c r="N22" s="13" t="s">
        <v>228</v>
      </c>
      <c r="O22" s="13" t="s">
        <v>127</v>
      </c>
    </row>
    <row r="23" spans="1:15" x14ac:dyDescent="0.3">
      <c r="A23" s="18" t="s">
        <v>31</v>
      </c>
      <c r="B23" s="11" t="s">
        <v>32</v>
      </c>
      <c r="C23" s="11" t="s">
        <v>10</v>
      </c>
      <c r="D23" s="11" t="str">
        <f>VLOOKUP(A23,[1]Data!$A:$J,10,0)</f>
        <v>Mobility</v>
      </c>
      <c r="E23" s="11" t="str">
        <f>VLOOKUP(A23,[1]Data!$A:$L,12,0)</f>
        <v>O&amp;M</v>
      </c>
      <c r="F23" s="11" t="str">
        <f>VLOOKUP(A23,[2]sheet1!$B:$D,3,0)</f>
        <v>P</v>
      </c>
      <c r="G23" s="13" t="str">
        <f>VLOOKUP(A23,[3]sheet1!$B:$D,3,0)</f>
        <v>5.6</v>
      </c>
      <c r="H23" s="13">
        <v>0</v>
      </c>
      <c r="I23" s="14" t="s">
        <v>140</v>
      </c>
      <c r="J23" s="13" t="s">
        <v>127</v>
      </c>
      <c r="K23" s="14" t="s">
        <v>143</v>
      </c>
      <c r="L23" s="14" t="s">
        <v>141</v>
      </c>
      <c r="M23" s="13" t="s">
        <v>144</v>
      </c>
      <c r="N23" s="13" t="s">
        <v>142</v>
      </c>
      <c r="O23" s="14" t="s">
        <v>139</v>
      </c>
    </row>
    <row r="24" spans="1:15" x14ac:dyDescent="0.3">
      <c r="A24" s="18" t="s">
        <v>35</v>
      </c>
      <c r="B24" s="11" t="s">
        <v>36</v>
      </c>
      <c r="C24" s="11" t="s">
        <v>10</v>
      </c>
      <c r="D24" s="11" t="str">
        <f>VLOOKUP(A24,[1]Data!$A:$J,10,0)</f>
        <v>Mobility</v>
      </c>
      <c r="E24" s="11" t="str">
        <f>VLOOKUP(A24,[1]Data!$A:$L,12,0)</f>
        <v>Project</v>
      </c>
      <c r="F24" s="11" t="str">
        <f>VLOOKUP(A24,[2]sheet1!$B:$D,3,0)</f>
        <v>P</v>
      </c>
      <c r="G24" s="13" t="str">
        <f>VLOOKUP(A24,[3]sheet1!$B:$D,3,0)</f>
        <v>57.58</v>
      </c>
      <c r="H24" s="13">
        <v>0</v>
      </c>
      <c r="I24" s="15" t="s">
        <v>145</v>
      </c>
      <c r="J24" s="13" t="s">
        <v>127</v>
      </c>
      <c r="K24" s="15" t="s">
        <v>145</v>
      </c>
      <c r="L24" s="15" t="s">
        <v>145</v>
      </c>
      <c r="M24" s="13" t="s">
        <v>146</v>
      </c>
      <c r="N24" s="13" t="s">
        <v>147</v>
      </c>
      <c r="O24" s="13" t="s">
        <v>127</v>
      </c>
    </row>
    <row r="25" spans="1:15" x14ac:dyDescent="0.3">
      <c r="A25" s="18" t="s">
        <v>51</v>
      </c>
      <c r="B25" s="11" t="s">
        <v>52</v>
      </c>
      <c r="C25" s="11" t="s">
        <v>10</v>
      </c>
      <c r="D25" s="11" t="str">
        <f>VLOOKUP(A25,[1]Data!$A:$J,10,0)</f>
        <v>Mobility</v>
      </c>
      <c r="E25" s="11" t="str">
        <f>VLOOKUP(A25,[1]Data!$A:$L,12,0)</f>
        <v>Project</v>
      </c>
      <c r="F25" s="11" t="str">
        <f>VLOOKUP(A25,[2]sheet1!$B:$D,3,0)</f>
        <v>P</v>
      </c>
      <c r="G25" s="13" t="str">
        <f>VLOOKUP(A25,[3]sheet1!$B:$D,3,0)</f>
        <v>77.48</v>
      </c>
      <c r="H25" s="13">
        <v>0</v>
      </c>
      <c r="I25" s="23" t="s">
        <v>145</v>
      </c>
      <c r="J25" s="14" t="s">
        <v>138</v>
      </c>
      <c r="K25" s="23" t="s">
        <v>145</v>
      </c>
      <c r="L25" s="23" t="s">
        <v>145</v>
      </c>
      <c r="M25" s="13" t="s">
        <v>146</v>
      </c>
      <c r="N25" s="13" t="s">
        <v>275</v>
      </c>
      <c r="O25" s="14" t="s">
        <v>139</v>
      </c>
    </row>
    <row r="26" spans="1:15" x14ac:dyDescent="0.3">
      <c r="A26" s="18" t="s">
        <v>37</v>
      </c>
      <c r="B26" s="18" t="s">
        <v>38</v>
      </c>
      <c r="C26" s="18" t="s">
        <v>39</v>
      </c>
      <c r="D26" s="18" t="str">
        <f>VLOOKUP(A26,[1]Data!$A:$J,10,0)</f>
        <v>Mobility</v>
      </c>
      <c r="E26" s="18" t="str">
        <f>VLOOKUP(A26,[1]Data!$A:$L,12,0)</f>
        <v>Business</v>
      </c>
      <c r="F26" s="18" t="str">
        <f>VLOOKUP(A26,[2]sheet1!$B:$D,3,0)</f>
        <v>P</v>
      </c>
      <c r="G26" s="20" t="str">
        <f>VLOOKUP(A26,[3]sheet1!$B:$D,3,0)</f>
        <v>106.1</v>
      </c>
      <c r="H26" s="20">
        <v>0</v>
      </c>
      <c r="I26" s="20" t="s">
        <v>153</v>
      </c>
      <c r="J26" s="21" t="s">
        <v>138</v>
      </c>
      <c r="K26" s="20" t="s">
        <v>261</v>
      </c>
      <c r="L26" s="20" t="s">
        <v>104</v>
      </c>
      <c r="M26" s="20" t="s">
        <v>265</v>
      </c>
      <c r="N26" s="20" t="s">
        <v>262</v>
      </c>
      <c r="O26" s="21" t="s">
        <v>139</v>
      </c>
    </row>
    <row r="27" spans="1:15" x14ac:dyDescent="0.3">
      <c r="A27" s="22" t="s">
        <v>44</v>
      </c>
      <c r="B27" s="11" t="s">
        <v>45</v>
      </c>
      <c r="C27" s="11" t="s">
        <v>39</v>
      </c>
      <c r="D27" s="11" t="s">
        <v>20</v>
      </c>
      <c r="E27" s="11" t="s">
        <v>17</v>
      </c>
      <c r="F27" s="11" t="str">
        <f>VLOOKUP(A27,[2]sheet1!$B:$D,3,0)</f>
        <v>P</v>
      </c>
      <c r="G27" s="13" t="str">
        <f>VLOOKUP(A27,[3]sheet1!$B:$D,3,0)</f>
        <v>19.13</v>
      </c>
      <c r="H27" s="13" t="str">
        <f>VLOOKUP(A27,'[4]Productivity Report'!$A:$C,3,0)</f>
        <v>1</v>
      </c>
      <c r="I27" s="14" t="s">
        <v>153</v>
      </c>
      <c r="J27" s="14" t="s">
        <v>130</v>
      </c>
      <c r="K27" s="13" t="s">
        <v>212</v>
      </c>
      <c r="L27" s="13" t="s">
        <v>213</v>
      </c>
      <c r="M27" s="13" t="s">
        <v>211</v>
      </c>
      <c r="N27" s="13" t="s">
        <v>214</v>
      </c>
      <c r="O27" s="13" t="s">
        <v>127</v>
      </c>
    </row>
    <row r="28" spans="1:15" x14ac:dyDescent="0.3">
      <c r="A28" s="18" t="s">
        <v>70</v>
      </c>
      <c r="B28" s="11" t="s">
        <v>71</v>
      </c>
      <c r="C28" s="11" t="s">
        <v>39</v>
      </c>
      <c r="D28" s="11" t="str">
        <f>VLOOKUP(A28,[1]Data!$A:$J,10,0)</f>
        <v>Mobility</v>
      </c>
      <c r="E28" s="11" t="s">
        <v>17</v>
      </c>
      <c r="F28" s="11" t="str">
        <f>VLOOKUP(A28,[2]sheet1!$B:$D,3,0)</f>
        <v>P</v>
      </c>
      <c r="G28" s="13" t="str">
        <f>VLOOKUP(A28,[3]sheet1!$B:$D,3,0)</f>
        <v>58.91</v>
      </c>
      <c r="H28" s="13" t="str">
        <f>VLOOKUP(A28,'[4]Productivity Report'!$A:$C,3,0)</f>
        <v>2</v>
      </c>
      <c r="I28" s="13" t="s">
        <v>153</v>
      </c>
      <c r="J28" s="14" t="s">
        <v>136</v>
      </c>
      <c r="K28" s="13" t="s">
        <v>224</v>
      </c>
      <c r="L28" s="13" t="s">
        <v>223</v>
      </c>
      <c r="M28" s="13" t="s">
        <v>221</v>
      </c>
      <c r="N28" s="13" t="s">
        <v>222</v>
      </c>
      <c r="O28" s="13" t="s">
        <v>127</v>
      </c>
    </row>
    <row r="29" spans="1:15" x14ac:dyDescent="0.3">
      <c r="A29" s="11" t="s">
        <v>119</v>
      </c>
      <c r="B29" s="11" t="s">
        <v>120</v>
      </c>
      <c r="C29" s="11" t="s">
        <v>39</v>
      </c>
      <c r="D29" s="11" t="str">
        <f>VLOOKUP(A29,[1]Data!$A:$J,10,0)</f>
        <v>Mobility</v>
      </c>
      <c r="E29" s="11" t="s">
        <v>17</v>
      </c>
      <c r="F29" s="11" t="str">
        <f>VLOOKUP(A29,[2]sheet1!$B:$D,3,0)</f>
        <v>P</v>
      </c>
      <c r="G29" s="13" t="str">
        <f>VLOOKUP(A29,[3]sheet1!$B:$D,3,0)</f>
        <v>41.31</v>
      </c>
      <c r="H29" s="13" t="str">
        <f>VLOOKUP(A29,'[4]Productivity Report'!$A:$C,3,0)</f>
        <v>1</v>
      </c>
      <c r="I29" s="14" t="s">
        <v>153</v>
      </c>
      <c r="J29" s="14" t="s">
        <v>128</v>
      </c>
      <c r="K29" s="14" t="s">
        <v>182</v>
      </c>
      <c r="L29" s="13" t="s">
        <v>181</v>
      </c>
      <c r="M29" s="13" t="s">
        <v>180</v>
      </c>
      <c r="N29" s="13" t="s">
        <v>179</v>
      </c>
      <c r="O29" s="13" t="s">
        <v>127</v>
      </c>
    </row>
    <row r="30" spans="1:15" x14ac:dyDescent="0.3">
      <c r="A30" s="11" t="s">
        <v>101</v>
      </c>
      <c r="B30" s="11" t="s">
        <v>102</v>
      </c>
      <c r="C30" s="11" t="s">
        <v>16</v>
      </c>
      <c r="D30" s="11" t="s">
        <v>103</v>
      </c>
      <c r="E30" s="11" t="s">
        <v>104</v>
      </c>
      <c r="F30" s="11" t="str">
        <f>VLOOKUP(A30,[2]sheet1!$B:$D,3,0)</f>
        <v>P</v>
      </c>
      <c r="G30" s="13" t="str">
        <f>VLOOKUP(A30,[3]sheet1!$B:$D,3,0)</f>
        <v>199.72</v>
      </c>
      <c r="H30" s="13" t="str">
        <f>VLOOKUP(A30,'[4]Productivity Report'!$A:$C,3,0)</f>
        <v>2</v>
      </c>
      <c r="I30" s="13" t="s">
        <v>153</v>
      </c>
      <c r="J30" s="14" t="s">
        <v>131</v>
      </c>
      <c r="K30" s="14" t="s">
        <v>232</v>
      </c>
      <c r="L30" s="13" t="s">
        <v>233</v>
      </c>
      <c r="M30" s="13" t="s">
        <v>234</v>
      </c>
      <c r="N30" s="13" t="s">
        <v>235</v>
      </c>
      <c r="O30" s="13" t="s">
        <v>127</v>
      </c>
    </row>
    <row r="31" spans="1:15" s="19" customFormat="1" x14ac:dyDescent="0.3">
      <c r="A31" s="16" t="s">
        <v>68</v>
      </c>
      <c r="B31" s="16" t="s">
        <v>69</v>
      </c>
      <c r="C31" s="11" t="s">
        <v>16</v>
      </c>
      <c r="D31" s="11" t="str">
        <f>VLOOKUP(A31,[1]Data!$A:$J,10,0)</f>
        <v>Mobility</v>
      </c>
      <c r="E31" s="11" t="str">
        <f>VLOOKUP(A31,[1]Data!$A:$L,12,0)</f>
        <v>Business</v>
      </c>
      <c r="F31" s="11" t="str">
        <f>VLOOKUP(A31,[2]sheet1!$B:$D,3,0)</f>
        <v>P</v>
      </c>
      <c r="G31" s="13" t="str">
        <f>VLOOKUP(A31,[3]sheet1!$B:$D,3,0)</f>
        <v>63.47</v>
      </c>
      <c r="H31" s="13">
        <v>0</v>
      </c>
      <c r="I31" s="15" t="s">
        <v>145</v>
      </c>
      <c r="J31" s="13" t="s">
        <v>127</v>
      </c>
      <c r="K31" s="15" t="s">
        <v>145</v>
      </c>
      <c r="L31" s="15" t="s">
        <v>145</v>
      </c>
      <c r="M31" s="13" t="s">
        <v>154</v>
      </c>
      <c r="N31" s="13" t="s">
        <v>127</v>
      </c>
      <c r="O31" s="13" t="s">
        <v>127</v>
      </c>
    </row>
    <row r="32" spans="1:15" x14ac:dyDescent="0.3">
      <c r="A32" s="18" t="s">
        <v>109</v>
      </c>
      <c r="B32" s="18" t="s">
        <v>110</v>
      </c>
      <c r="C32" s="11" t="s">
        <v>16</v>
      </c>
      <c r="D32" s="11" t="str">
        <f>VLOOKUP(A32,[1]Data!$A:$J,10,0)</f>
        <v>Mobility</v>
      </c>
      <c r="E32" s="11" t="str">
        <f>VLOOKUP(A32,[1]Data!$A:$L,12,0)</f>
        <v>Business</v>
      </c>
      <c r="F32" s="18" t="str">
        <f>VLOOKUP(A32,[2]sheet1!$B:$D,3,0)</f>
        <v>P</v>
      </c>
      <c r="G32" s="13" t="str">
        <f>VLOOKUP(A32,[3]sheet1!$B:$D,3,0)</f>
        <v>93.19</v>
      </c>
      <c r="H32" s="13" t="str">
        <f>VLOOKUP(A32,'[4]Productivity Report'!$A:$C,3,0)</f>
        <v>1</v>
      </c>
      <c r="I32" s="21" t="s">
        <v>153</v>
      </c>
      <c r="J32" s="14" t="s">
        <v>128</v>
      </c>
      <c r="K32" s="21" t="s">
        <v>173</v>
      </c>
      <c r="L32" s="20" t="s">
        <v>282</v>
      </c>
      <c r="M32" s="20" t="s">
        <v>175</v>
      </c>
      <c r="N32" s="20" t="s">
        <v>283</v>
      </c>
      <c r="O32" s="20" t="s">
        <v>174</v>
      </c>
    </row>
    <row r="33" spans="1:15" x14ac:dyDescent="0.3">
      <c r="A33" s="11" t="s">
        <v>18</v>
      </c>
      <c r="B33" s="11" t="s">
        <v>19</v>
      </c>
      <c r="C33" s="11" t="s">
        <v>16</v>
      </c>
      <c r="D33" s="16" t="s">
        <v>20</v>
      </c>
      <c r="E33" s="16" t="s">
        <v>21</v>
      </c>
      <c r="F33" s="11" t="str">
        <f>VLOOKUP(A33,[2]sheet1!$B:$D,3,0)</f>
        <v>P</v>
      </c>
      <c r="G33" s="13" t="str">
        <f>VLOOKUP(A33,[3]sheet1!$B:$D,3,0)</f>
        <v>25.42</v>
      </c>
      <c r="H33" s="13" t="str">
        <f>VLOOKUP(A33,'[4]Productivity Report'!$A:$C,3,0)</f>
        <v>1</v>
      </c>
      <c r="I33" s="14" t="s">
        <v>153</v>
      </c>
      <c r="J33" s="14" t="s">
        <v>129</v>
      </c>
      <c r="K33" s="13" t="s">
        <v>185</v>
      </c>
      <c r="L33" s="13" t="s">
        <v>161</v>
      </c>
      <c r="M33" s="13" t="s">
        <v>184</v>
      </c>
      <c r="N33" s="13" t="s">
        <v>183</v>
      </c>
      <c r="O33" s="13" t="s">
        <v>127</v>
      </c>
    </row>
    <row r="34" spans="1:15" x14ac:dyDescent="0.3">
      <c r="A34" s="18" t="s">
        <v>33</v>
      </c>
      <c r="B34" s="11" t="s">
        <v>34</v>
      </c>
      <c r="C34" s="11" t="s">
        <v>16</v>
      </c>
      <c r="D34" s="11" t="str">
        <f>VLOOKUP(A34,[1]Data!$A:$J,10,0)</f>
        <v>Mobility</v>
      </c>
      <c r="E34" s="11" t="str">
        <f>VLOOKUP(A34,[1]Data!$A:$L,12,0)</f>
        <v>O&amp;M</v>
      </c>
      <c r="F34" s="11" t="str">
        <f>VLOOKUP(A34,[2]sheet1!$B:$D,3,0)</f>
        <v>P</v>
      </c>
      <c r="G34" s="13" t="str">
        <f>VLOOKUP(A34,[3]sheet1!$B:$D,3,0)</f>
        <v>39.68</v>
      </c>
      <c r="H34" s="13" t="str">
        <f>VLOOKUP(A34,'[4]Productivity Report'!$A:$C,3,0)</f>
        <v>2</v>
      </c>
      <c r="I34" s="13" t="s">
        <v>153</v>
      </c>
      <c r="J34" s="14" t="s">
        <v>134</v>
      </c>
      <c r="K34" s="13" t="s">
        <v>242</v>
      </c>
      <c r="L34" s="13" t="s">
        <v>241</v>
      </c>
      <c r="M34" s="13" t="s">
        <v>184</v>
      </c>
      <c r="N34" s="13" t="s">
        <v>243</v>
      </c>
      <c r="O34" s="13" t="s">
        <v>194</v>
      </c>
    </row>
    <row r="35" spans="1:15" x14ac:dyDescent="0.3">
      <c r="A35" s="22" t="s">
        <v>46</v>
      </c>
      <c r="B35" s="11" t="s">
        <v>47</v>
      </c>
      <c r="C35" s="11" t="s">
        <v>16</v>
      </c>
      <c r="D35" s="11" t="s">
        <v>20</v>
      </c>
      <c r="E35" s="11" t="s">
        <v>21</v>
      </c>
      <c r="F35" s="11" t="str">
        <f>VLOOKUP(A35,[2]sheet1!$B:$D,3,0)</f>
        <v>P</v>
      </c>
      <c r="G35" s="13" t="str">
        <f>VLOOKUP(A35,[3]sheet1!$B:$D,3,0)</f>
        <v>10.22</v>
      </c>
      <c r="H35" s="13" t="str">
        <f>VLOOKUP(A35,'[4]Productivity Report'!$A:$C,3,0)</f>
        <v>1</v>
      </c>
      <c r="I35" s="14" t="s">
        <v>153</v>
      </c>
      <c r="J35" s="14" t="s">
        <v>129</v>
      </c>
      <c r="K35" s="13" t="s">
        <v>185</v>
      </c>
      <c r="L35" s="13" t="s">
        <v>161</v>
      </c>
      <c r="M35" s="13" t="s">
        <v>184</v>
      </c>
      <c r="N35" s="13" t="s">
        <v>183</v>
      </c>
      <c r="O35" s="13" t="s">
        <v>194</v>
      </c>
    </row>
    <row r="36" spans="1:15" x14ac:dyDescent="0.3">
      <c r="A36" s="18" t="s">
        <v>53</v>
      </c>
      <c r="B36" s="11" t="s">
        <v>54</v>
      </c>
      <c r="C36" s="11" t="s">
        <v>16</v>
      </c>
      <c r="D36" s="11" t="str">
        <f>VLOOKUP(A36,[1]Data!$A:$J,10,0)</f>
        <v>Mobility</v>
      </c>
      <c r="E36" s="11" t="str">
        <f>VLOOKUP(A36,[1]Data!$A:$L,12,0)</f>
        <v>O&amp;M</v>
      </c>
      <c r="F36" s="11" t="str">
        <f>VLOOKUP(A36,[2]sheet1!$B:$D,3,0)</f>
        <v>P</v>
      </c>
      <c r="G36" s="13" t="str">
        <f>VLOOKUP(A36,[3]sheet1!$B:$D,3,0)</f>
        <v>13.43</v>
      </c>
      <c r="H36" s="13" t="str">
        <f>VLOOKUP(A36,'[4]Productivity Report'!$A:$C,3,0)</f>
        <v>1</v>
      </c>
      <c r="I36" s="14" t="s">
        <v>153</v>
      </c>
      <c r="J36" s="14" t="s">
        <v>129</v>
      </c>
      <c r="K36" s="13" t="s">
        <v>185</v>
      </c>
      <c r="L36" s="13" t="s">
        <v>161</v>
      </c>
      <c r="M36" s="13" t="s">
        <v>184</v>
      </c>
      <c r="N36" s="13" t="s">
        <v>183</v>
      </c>
      <c r="O36" s="13" t="s">
        <v>194</v>
      </c>
    </row>
    <row r="37" spans="1:15" x14ac:dyDescent="0.3">
      <c r="A37" s="18" t="s">
        <v>82</v>
      </c>
      <c r="B37" s="11" t="s">
        <v>83</v>
      </c>
      <c r="C37" s="11" t="s">
        <v>16</v>
      </c>
      <c r="D37" s="11" t="str">
        <f>VLOOKUP(A37,[1]Data!$A:$J,10,0)</f>
        <v>Mobility</v>
      </c>
      <c r="E37" s="11" t="str">
        <f>VLOOKUP(A37,[1]Data!$A:$L,12,0)</f>
        <v>O&amp;M</v>
      </c>
      <c r="F37" s="11" t="str">
        <f>VLOOKUP(A37,[2]sheet1!$B:$D,3,0)</f>
        <v>P</v>
      </c>
      <c r="G37" s="13" t="str">
        <f>VLOOKUP(A37,[3]sheet1!$B:$D,3,0)</f>
        <v>9.49</v>
      </c>
      <c r="H37" s="13" t="str">
        <f>VLOOKUP(A37,'[4]Productivity Report'!$A:$C,3,0)</f>
        <v>1</v>
      </c>
      <c r="I37" s="14" t="s">
        <v>153</v>
      </c>
      <c r="J37" s="14" t="s">
        <v>129</v>
      </c>
      <c r="K37" s="14" t="s">
        <v>196</v>
      </c>
      <c r="L37" s="13" t="s">
        <v>198</v>
      </c>
      <c r="M37" s="13" t="s">
        <v>197</v>
      </c>
      <c r="N37" s="13" t="s">
        <v>195</v>
      </c>
      <c r="O37" s="13" t="s">
        <v>194</v>
      </c>
    </row>
    <row r="38" spans="1:15" x14ac:dyDescent="0.3">
      <c r="A38" s="18" t="s">
        <v>84</v>
      </c>
      <c r="B38" s="11" t="s">
        <v>85</v>
      </c>
      <c r="C38" s="11" t="s">
        <v>16</v>
      </c>
      <c r="D38" s="11" t="str">
        <f>VLOOKUP(A38,[1]Data!$A:$J,10,0)</f>
        <v>Mobility</v>
      </c>
      <c r="E38" s="11" t="str">
        <f>VLOOKUP(A38,[1]Data!$A:$L,12,0)</f>
        <v>O&amp;M</v>
      </c>
      <c r="F38" s="11" t="str">
        <f>VLOOKUP(A38,[2]sheet1!$B:$D,3,0)</f>
        <v>P</v>
      </c>
      <c r="G38" s="13" t="str">
        <f>VLOOKUP(A38,[3]sheet1!$B:$D,3,0)</f>
        <v>88.1</v>
      </c>
      <c r="H38" s="13" t="str">
        <f>VLOOKUP(A38,'[4]Productivity Report'!$A:$C,3,0)</f>
        <v>1</v>
      </c>
      <c r="I38" s="14" t="s">
        <v>153</v>
      </c>
      <c r="J38" s="14" t="s">
        <v>129</v>
      </c>
      <c r="K38" s="13" t="s">
        <v>201</v>
      </c>
      <c r="L38" s="13" t="s">
        <v>202</v>
      </c>
      <c r="M38" s="13" t="s">
        <v>200</v>
      </c>
      <c r="N38" s="13" t="s">
        <v>199</v>
      </c>
      <c r="O38" s="13" t="s">
        <v>194</v>
      </c>
    </row>
    <row r="39" spans="1:15" s="19" customFormat="1" x14ac:dyDescent="0.3">
      <c r="A39" s="18" t="s">
        <v>86</v>
      </c>
      <c r="B39" s="11" t="s">
        <v>87</v>
      </c>
      <c r="C39" s="11" t="s">
        <v>16</v>
      </c>
      <c r="D39" s="11" t="str">
        <f>VLOOKUP(A39,[1]Data!$A:$J,10,0)</f>
        <v>Mobility</v>
      </c>
      <c r="E39" s="11" t="str">
        <f>VLOOKUP(A39,[1]Data!$A:$L,12,0)</f>
        <v>O&amp;M</v>
      </c>
      <c r="F39" s="11" t="str">
        <f>VLOOKUP(A39,[2]sheet1!$B:$D,3,0)</f>
        <v>P</v>
      </c>
      <c r="G39" s="13" t="str">
        <f>VLOOKUP(A39,[3]sheet1!$B:$D,3,0)</f>
        <v>42.46</v>
      </c>
      <c r="H39" s="13">
        <v>0</v>
      </c>
      <c r="I39" s="14" t="s">
        <v>153</v>
      </c>
      <c r="J39" s="14" t="s">
        <v>138</v>
      </c>
      <c r="K39" s="13" t="s">
        <v>185</v>
      </c>
      <c r="L39" s="13" t="s">
        <v>161</v>
      </c>
      <c r="M39" s="13" t="s">
        <v>184</v>
      </c>
      <c r="N39" s="13" t="s">
        <v>183</v>
      </c>
      <c r="O39" s="14" t="s">
        <v>139</v>
      </c>
    </row>
    <row r="40" spans="1:15" x14ac:dyDescent="0.3">
      <c r="A40" s="22" t="s">
        <v>115</v>
      </c>
      <c r="B40" s="11" t="s">
        <v>116</v>
      </c>
      <c r="C40" s="11" t="s">
        <v>16</v>
      </c>
      <c r="D40" s="11" t="s">
        <v>20</v>
      </c>
      <c r="E40" s="11" t="s">
        <v>21</v>
      </c>
      <c r="F40" s="11" t="str">
        <f>VLOOKUP(A40,[2]sheet1!$B:$D,3,0)</f>
        <v>P</v>
      </c>
      <c r="G40" s="13" t="str">
        <f>VLOOKUP(A40,[3]sheet1!$B:$D,3,0)</f>
        <v>50.62</v>
      </c>
      <c r="H40" s="13" t="str">
        <f>VLOOKUP(A40,'[4]Productivity Report'!$A:$C,3,0)</f>
        <v>1</v>
      </c>
      <c r="I40" s="14" t="s">
        <v>153</v>
      </c>
      <c r="J40" s="14" t="s">
        <v>129</v>
      </c>
      <c r="K40" s="13" t="s">
        <v>206</v>
      </c>
      <c r="L40" s="13" t="s">
        <v>161</v>
      </c>
      <c r="M40" s="13" t="s">
        <v>207</v>
      </c>
      <c r="N40" s="13" t="s">
        <v>205</v>
      </c>
      <c r="O40" s="13" t="s">
        <v>127</v>
      </c>
    </row>
    <row r="41" spans="1:15" s="19" customFormat="1" x14ac:dyDescent="0.3">
      <c r="A41" s="18" t="s">
        <v>62</v>
      </c>
      <c r="B41" s="11" t="s">
        <v>63</v>
      </c>
      <c r="C41" s="11" t="s">
        <v>16</v>
      </c>
      <c r="D41" s="11" t="str">
        <f>VLOOKUP(A41,[1]Data!$A:$J,10,0)</f>
        <v>Mobility</v>
      </c>
      <c r="E41" s="11" t="str">
        <f>VLOOKUP(A41,[1]Data!$A:$L,12,0)</f>
        <v>Project</v>
      </c>
      <c r="F41" s="11" t="str">
        <f>VLOOKUP(A41,[2]sheet1!$B:$D,3,0)</f>
        <v>P</v>
      </c>
      <c r="G41" s="13" t="str">
        <f>VLOOKUP(A41,[3]sheet1!$B:$D,3,0)</f>
        <v>24.37</v>
      </c>
      <c r="H41" s="13" t="str">
        <f>VLOOKUP(A41,'[4]Productivity Report'!$A:$C,3,0)</f>
        <v>1</v>
      </c>
      <c r="I41" s="14" t="s">
        <v>153</v>
      </c>
      <c r="J41" s="14" t="s">
        <v>129</v>
      </c>
      <c r="K41" s="13" t="s">
        <v>185</v>
      </c>
      <c r="L41" s="13" t="s">
        <v>161</v>
      </c>
      <c r="M41" s="13" t="s">
        <v>184</v>
      </c>
      <c r="N41" s="13" t="s">
        <v>183</v>
      </c>
      <c r="O41" s="13" t="s">
        <v>194</v>
      </c>
    </row>
    <row r="42" spans="1:15" x14ac:dyDescent="0.3">
      <c r="A42" s="11" t="s">
        <v>14</v>
      </c>
      <c r="B42" s="11" t="s">
        <v>15</v>
      </c>
      <c r="C42" s="11" t="s">
        <v>16</v>
      </c>
      <c r="D42" s="11" t="str">
        <f>VLOOKUP(A42,[1]Data!$A:$J,10,0)</f>
        <v>Mobility</v>
      </c>
      <c r="E42" s="11" t="s">
        <v>17</v>
      </c>
      <c r="F42" s="11" t="str">
        <f>VLOOKUP(A42,[2]sheet1!$B:$D,3,0)</f>
        <v>P</v>
      </c>
      <c r="G42" s="13" t="str">
        <f>VLOOKUP(A42,[3]sheet1!$B:$D,3,0)</f>
        <v>28.27</v>
      </c>
      <c r="H42" s="13" t="str">
        <f>VLOOKUP(A42,'[4]Productivity Report'!$A:$C,3,0)</f>
        <v>4</v>
      </c>
      <c r="I42" s="13" t="s">
        <v>153</v>
      </c>
      <c r="J42" s="14" t="s">
        <v>133</v>
      </c>
      <c r="K42" s="13" t="s">
        <v>252</v>
      </c>
      <c r="L42" s="14" t="s">
        <v>256</v>
      </c>
      <c r="M42" s="13" t="s">
        <v>254</v>
      </c>
      <c r="N42" s="13" t="s">
        <v>253</v>
      </c>
      <c r="O42" s="14" t="s">
        <v>255</v>
      </c>
    </row>
    <row r="43" spans="1:15" s="19" customFormat="1" x14ac:dyDescent="0.3">
      <c r="A43" s="16" t="s">
        <v>29</v>
      </c>
      <c r="B43" s="16" t="s">
        <v>30</v>
      </c>
      <c r="C43" s="11" t="s">
        <v>16</v>
      </c>
      <c r="D43" s="11" t="s">
        <v>20</v>
      </c>
      <c r="E43" s="11" t="s">
        <v>17</v>
      </c>
      <c r="F43" s="11" t="str">
        <f>VLOOKUP(A43,[2]sheet1!$B:$D,3,0)</f>
        <v>P</v>
      </c>
      <c r="G43" s="13" t="str">
        <f>VLOOKUP(A43,[3]sheet1!$B:$D,3,0)</f>
        <v>28.95</v>
      </c>
      <c r="H43" s="13" t="str">
        <f>VLOOKUP(A43,'[4]Productivity Report'!$A:$C,3,0)</f>
        <v>3</v>
      </c>
      <c r="I43" s="13" t="s">
        <v>153</v>
      </c>
      <c r="J43" s="14" t="s">
        <v>135</v>
      </c>
      <c r="K43" s="13" t="s">
        <v>260</v>
      </c>
      <c r="L43" s="13" t="s">
        <v>257</v>
      </c>
      <c r="M43" s="13" t="s">
        <v>259</v>
      </c>
      <c r="N43" s="13" t="s">
        <v>258</v>
      </c>
      <c r="O43" s="13" t="s">
        <v>127</v>
      </c>
    </row>
    <row r="44" spans="1:15" x14ac:dyDescent="0.3">
      <c r="A44" s="18" t="s">
        <v>60</v>
      </c>
      <c r="B44" s="11" t="s">
        <v>61</v>
      </c>
      <c r="C44" s="11" t="s">
        <v>16</v>
      </c>
      <c r="D44" s="11" t="str">
        <f>VLOOKUP(A44,[1]Data!$A:$J,10,0)</f>
        <v>Mobility</v>
      </c>
      <c r="E44" s="11" t="s">
        <v>17</v>
      </c>
      <c r="F44" s="11" t="str">
        <f>VLOOKUP(A44,[2]sheet1!$B:$D,3,0)</f>
        <v>P</v>
      </c>
      <c r="G44" s="13" t="str">
        <f>VLOOKUP(A44,[3]sheet1!$B:$D,3,0)</f>
        <v>44.41</v>
      </c>
      <c r="H44" s="13" t="str">
        <f>VLOOKUP(A44,'[4]Productivity Report'!$A:$C,3,0)</f>
        <v>1</v>
      </c>
      <c r="I44" s="14" t="s">
        <v>153</v>
      </c>
      <c r="J44" s="14" t="s">
        <v>130</v>
      </c>
      <c r="K44" s="13" t="s">
        <v>216</v>
      </c>
      <c r="L44" s="14" t="s">
        <v>141</v>
      </c>
      <c r="M44" s="13" t="s">
        <v>219</v>
      </c>
      <c r="N44" s="13" t="s">
        <v>215</v>
      </c>
      <c r="O44" s="13" t="s">
        <v>127</v>
      </c>
    </row>
    <row r="45" spans="1:15" s="19" customFormat="1" x14ac:dyDescent="0.3">
      <c r="A45" s="22" t="s">
        <v>72</v>
      </c>
      <c r="B45" s="11" t="s">
        <v>73</v>
      </c>
      <c r="C45" s="11" t="s">
        <v>16</v>
      </c>
      <c r="D45" s="11" t="s">
        <v>20</v>
      </c>
      <c r="E45" s="11" t="s">
        <v>17</v>
      </c>
      <c r="F45" s="11" t="str">
        <f>VLOOKUP(A45,[2]sheet1!$B:$D,3,0)</f>
        <v>P</v>
      </c>
      <c r="G45" s="13" t="str">
        <f>VLOOKUP(A45,[3]sheet1!$B:$D,3,0)</f>
        <v>67.26</v>
      </c>
      <c r="H45" s="13" t="str">
        <f>VLOOKUP(A45,'[4]Productivity Report'!$A:$C,3,0)</f>
        <v>2</v>
      </c>
      <c r="I45" s="13" t="s">
        <v>153</v>
      </c>
      <c r="J45" s="14" t="s">
        <v>132</v>
      </c>
      <c r="K45" s="14" t="s">
        <v>246</v>
      </c>
      <c r="L45" s="13" t="s">
        <v>244</v>
      </c>
      <c r="M45" s="13" t="s">
        <v>245</v>
      </c>
      <c r="N45" s="13" t="s">
        <v>247</v>
      </c>
      <c r="O45" s="13" t="s">
        <v>127</v>
      </c>
    </row>
    <row r="46" spans="1:15" x14ac:dyDescent="0.3">
      <c r="A46" s="22" t="s">
        <v>88</v>
      </c>
      <c r="B46" s="11" t="s">
        <v>89</v>
      </c>
      <c r="C46" s="11" t="s">
        <v>16</v>
      </c>
      <c r="D46" s="11" t="s">
        <v>20</v>
      </c>
      <c r="E46" s="11" t="s">
        <v>17</v>
      </c>
      <c r="F46" s="11" t="str">
        <f>VLOOKUP(A46,[2]sheet1!$B:$D,3,0)</f>
        <v>P</v>
      </c>
      <c r="G46" s="13" t="str">
        <f>VLOOKUP(A46,[3]sheet1!$B:$D,3,0)</f>
        <v>32.18</v>
      </c>
      <c r="H46" s="13" t="str">
        <f>VLOOKUP(A46,'[4]Productivity Report'!$A:$C,3,0)</f>
        <v>3</v>
      </c>
      <c r="I46" s="13" t="s">
        <v>153</v>
      </c>
      <c r="J46" s="14" t="s">
        <v>137</v>
      </c>
      <c r="K46" s="26" t="s">
        <v>264</v>
      </c>
      <c r="L46" s="12" t="s">
        <v>263</v>
      </c>
      <c r="M46" s="13" t="s">
        <v>267</v>
      </c>
      <c r="N46" s="13" t="s">
        <v>266</v>
      </c>
      <c r="O46" s="13" t="s">
        <v>127</v>
      </c>
    </row>
    <row r="47" spans="1:15" x14ac:dyDescent="0.3">
      <c r="A47" s="18" t="s">
        <v>113</v>
      </c>
      <c r="B47" s="11" t="s">
        <v>114</v>
      </c>
      <c r="C47" s="11" t="s">
        <v>16</v>
      </c>
      <c r="D47" s="11" t="str">
        <f>VLOOKUP(A47,[1]Data!$A:$J,10,0)</f>
        <v>Mobility</v>
      </c>
      <c r="E47" s="11" t="s">
        <v>17</v>
      </c>
      <c r="F47" s="11" t="str">
        <f>VLOOKUP(A47,[2]sheet1!$B:$D,3,0)</f>
        <v>A</v>
      </c>
      <c r="G47" s="13">
        <v>0</v>
      </c>
      <c r="H47" s="13">
        <v>0</v>
      </c>
      <c r="I47" s="15" t="s">
        <v>121</v>
      </c>
      <c r="J47" s="13" t="s">
        <v>121</v>
      </c>
      <c r="K47" s="13" t="s">
        <v>288</v>
      </c>
      <c r="L47" s="15" t="s">
        <v>121</v>
      </c>
      <c r="M47" s="13" t="s">
        <v>127</v>
      </c>
      <c r="N47" s="13" t="s">
        <v>127</v>
      </c>
      <c r="O47" s="13" t="s">
        <v>127</v>
      </c>
    </row>
    <row r="48" spans="1:15" x14ac:dyDescent="0.3">
      <c r="A48" s="10" t="s">
        <v>22</v>
      </c>
      <c r="B48" s="11" t="s">
        <v>23</v>
      </c>
      <c r="C48" s="11" t="s">
        <v>24</v>
      </c>
      <c r="D48" s="11" t="str">
        <f>VLOOKUP(A48,[1]Data!$A:$J,10,0)</f>
        <v>Mobility</v>
      </c>
      <c r="E48" s="11" t="str">
        <f>VLOOKUP(A48,[1]Data!$A:$L,12,0)</f>
        <v>O&amp;M</v>
      </c>
      <c r="F48" s="11" t="str">
        <f>VLOOKUP(A48,[2]sheet1!$B:$D,3,0)</f>
        <v>P</v>
      </c>
      <c r="G48" s="12" t="str">
        <f>VLOOKUP(A48,[3]sheet1!$B:$D,3,0)</f>
        <v>9.3</v>
      </c>
      <c r="H48" s="12" t="str">
        <f>VLOOKUP(A48,'[4]Productivity Report'!$A:$C,3,0)</f>
        <v>1</v>
      </c>
      <c r="I48" s="14" t="s">
        <v>153</v>
      </c>
      <c r="J48" s="26" t="s">
        <v>129</v>
      </c>
      <c r="K48" s="13" t="s">
        <v>187</v>
      </c>
      <c r="L48" s="12" t="s">
        <v>186</v>
      </c>
      <c r="M48" s="12" t="s">
        <v>189</v>
      </c>
      <c r="N48" s="17" t="s">
        <v>188</v>
      </c>
      <c r="O48" s="12" t="s">
        <v>127</v>
      </c>
    </row>
    <row r="49" spans="1:15" x14ac:dyDescent="0.3">
      <c r="A49" s="18" t="s">
        <v>40</v>
      </c>
      <c r="B49" s="11" t="s">
        <v>41</v>
      </c>
      <c r="C49" s="11" t="s">
        <v>24</v>
      </c>
      <c r="D49" s="16" t="s">
        <v>20</v>
      </c>
      <c r="E49" s="11" t="s">
        <v>17</v>
      </c>
      <c r="F49" s="11" t="str">
        <f>VLOOKUP(A49,[2]sheet1!$B:$D,3,0)</f>
        <v>P</v>
      </c>
      <c r="G49" s="13" t="str">
        <f>VLOOKUP(A49,[3]sheet1!$B:$D,3,0)</f>
        <v>43.27</v>
      </c>
      <c r="H49" s="13">
        <v>1</v>
      </c>
      <c r="I49" s="14" t="s">
        <v>153</v>
      </c>
      <c r="J49" s="14" t="s">
        <v>128</v>
      </c>
      <c r="K49" s="14" t="s">
        <v>160</v>
      </c>
      <c r="L49" s="14" t="s">
        <v>161</v>
      </c>
      <c r="M49" s="14" t="s">
        <v>162</v>
      </c>
      <c r="N49" s="14" t="s">
        <v>163</v>
      </c>
      <c r="O49" s="14" t="s">
        <v>127</v>
      </c>
    </row>
    <row r="50" spans="1:15" x14ac:dyDescent="0.3">
      <c r="A50" s="18" t="s">
        <v>76</v>
      </c>
      <c r="B50" s="18" t="s">
        <v>77</v>
      </c>
      <c r="C50" s="11" t="s">
        <v>78</v>
      </c>
      <c r="D50" s="11" t="str">
        <f>VLOOKUP(A50,[1]Data!$A:$J,10,0)</f>
        <v>Mobility</v>
      </c>
      <c r="E50" s="11" t="str">
        <f>VLOOKUP(A50,[1]Data!$A:$L,12,0)</f>
        <v>Business</v>
      </c>
      <c r="F50" s="18" t="str">
        <f>VLOOKUP(A50,[2]sheet1!$B:$D,3,0)</f>
        <v>P</v>
      </c>
      <c r="G50" s="13" t="str">
        <f>VLOOKUP(A50,[3]sheet1!$B:$D,3,0)</f>
        <v>217.37</v>
      </c>
      <c r="H50" s="13" t="str">
        <f>VLOOKUP(A50,'[4]Productivity Report'!$A:$C,3,0)</f>
        <v>1</v>
      </c>
      <c r="I50" s="21" t="s">
        <v>153</v>
      </c>
      <c r="J50" s="14" t="s">
        <v>128</v>
      </c>
      <c r="K50" s="21" t="s">
        <v>167</v>
      </c>
      <c r="L50" s="20" t="s">
        <v>280</v>
      </c>
      <c r="M50" s="20" t="s">
        <v>281</v>
      </c>
      <c r="N50" s="20" t="s">
        <v>127</v>
      </c>
      <c r="O50" s="20" t="s">
        <v>166</v>
      </c>
    </row>
  </sheetData>
  <conditionalFormatting sqref="K16">
    <cfRule type="duplicateValues" dxfId="221" priority="5"/>
  </conditionalFormatting>
  <conditionalFormatting sqref="K16">
    <cfRule type="duplicateValues" dxfId="220" priority="3"/>
    <cfRule type="duplicateValues" dxfId="219" priority="4"/>
  </conditionalFormatting>
  <conditionalFormatting sqref="K16">
    <cfRule type="duplicateValues" dxfId="218" priority="2"/>
  </conditionalFormatting>
  <conditionalFormatting sqref="K16">
    <cfRule type="duplicateValues" dxfId="217" priority="1"/>
  </conditionalFormatting>
  <conditionalFormatting sqref="K16">
    <cfRule type="duplicateValues" dxfId="216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Productivity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Thorat</dc:creator>
  <cp:lastModifiedBy>Priya Thorat</cp:lastModifiedBy>
  <dcterms:created xsi:type="dcterms:W3CDTF">2026-04-09T05:21:02Z</dcterms:created>
  <dcterms:modified xsi:type="dcterms:W3CDTF">2026-04-13T12:19:24Z</dcterms:modified>
</cp:coreProperties>
</file>